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runa\Downloads\"/>
    </mc:Choice>
  </mc:AlternateContent>
  <xr:revisionPtr revIDLastSave="0" documentId="13_ncr:1_{8F12D2FC-F9F6-44A3-9ACC-E199215F7A25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Task Brief" sheetId="1" r:id="rId1"/>
    <sheet name="AB Tests" sheetId="2" r:id="rId2"/>
    <sheet name="Data Dictionary" sheetId="3" r:id="rId3"/>
    <sheet name="AI Use Log" sheetId="4" r:id="rId4"/>
    <sheet name="Results" sheetId="6" r:id="rId5"/>
    <sheet name="New Test Ideas" sheetId="7" r:id="rId6"/>
  </sheets>
  <definedNames>
    <definedName name="_xlnm._FilterDatabase" localSheetId="1" hidden="1">'AB Tests'!$A$1:$N$21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K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C23" i="1"/>
</calcChain>
</file>

<file path=xl/sharedStrings.xml><?xml version="1.0" encoding="utf-8"?>
<sst xmlns="http://schemas.openxmlformats.org/spreadsheetml/2006/main" count="427" uniqueCount="208">
  <si>
    <t>T53  Email A/B test analyser</t>
  </si>
  <si>
    <t>Mini project | 30 marks | Build something with free LLM tools</t>
  </si>
  <si>
    <t>Task ID</t>
  </si>
  <si>
    <t>T53</t>
  </si>
  <si>
    <t>Task</t>
  </si>
  <si>
    <t>Email A/B test analyser</t>
  </si>
  <si>
    <t>Theme</t>
  </si>
  <si>
    <t>Marketing &amp; content builds</t>
  </si>
  <si>
    <t>Suggested free tools</t>
  </si>
  <si>
    <t>Gemini Canvas, ChatGPT Canvas or Claude (free) to generate the app; Excel / Google Sheets to verify numbers</t>
  </si>
  <si>
    <t>What students do</t>
  </si>
  <si>
    <t>1. Build a tool that computes open and click rates with significance (let an LLM explain the test).
2. Analyse all 20 tests.
3. Identify winning patterns.
4. Generate 5 new test ideas.</t>
  </si>
  <si>
    <t>Deliverables</t>
  </si>
  <si>
    <t>A/B tool; results table; test ideas; AI-use log</t>
  </si>
  <si>
    <t>Dataset in this file</t>
  </si>
  <si>
    <t>20 email A/B test results
- 'AB Tests' sheet: 20 rows x 10 columns</t>
  </si>
  <si>
    <t>About the data</t>
  </si>
  <si>
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</si>
  <si>
    <t>Team size</t>
  </si>
  <si>
    <t>Individual (or pairs if your faculty allows)</t>
  </si>
  <si>
    <t>Responsible AI rules</t>
  </si>
  <si>
    <t>Use only free tools; never paste real personal or confidential data into public AI tools; verify every number the AI gives you; disclose AI-generated content.</t>
  </si>
  <si>
    <t>Submission</t>
  </si>
  <si>
    <t>1) Build link / file / screen recording  2) This workbook with your outputs added as new sheets  3) Completed 'AI Use Log' sheet (minimum 15 entries)  4) 3-5 page report with recommendation and reflection</t>
  </si>
  <si>
    <t>Evaluation rubric (30 marks)</t>
  </si>
  <si>
    <t>Criterion</t>
  </si>
  <si>
    <t>What is assessed</t>
  </si>
  <si>
    <t>Marks</t>
  </si>
  <si>
    <t>Excellent</t>
  </si>
  <si>
    <t>Good</t>
  </si>
  <si>
    <t>Fair</t>
  </si>
  <si>
    <t>Poor</t>
  </si>
  <si>
    <t>1. Working build</t>
  </si>
  <si>
    <t>Tool / bot / app / automation works end to end on the provided data; link, file or screen recording submitted</t>
  </si>
  <si>
    <t>Runs fully (7-8)</t>
  </si>
  <si>
    <t>Minor gaps (5-6)</t>
  </si>
  <si>
    <t>Partly working (3-4)</t>
  </si>
  <si>
    <t>Not working (0-2)</t>
  </si>
  <si>
    <t>2. Correctness and verification</t>
  </si>
  <si>
    <t>Outputs checked against the data or gold labels; accuracy measured; errors found and fixed</t>
  </si>
  <si>
    <t>Systematic checks with numbers (6-7)</t>
  </si>
  <si>
    <t>Some checks (4-5)</t>
  </si>
  <si>
    <t>Few checks (2-3)</t>
  </si>
  <si>
    <t>None (0-1)</t>
  </si>
  <si>
    <t>3. Prompting and iteration</t>
  </si>
  <si>
    <t>Clear, structured prompts; at least 3 documented improvement rounds with reasons</t>
  </si>
  <si>
    <t>Strong iteration (5)</t>
  </si>
  <si>
    <t>Some iteration (3-4)</t>
  </si>
  <si>
    <t>Mostly one-shot (2)</t>
  </si>
  <si>
    <t>No log (0-1)</t>
  </si>
  <si>
    <t>4. Business insight and recommendation</t>
  </si>
  <si>
    <t>Specific, data-backed recommendation for the stated manager or customer</t>
  </si>
  <si>
    <t>Actionable and quantified (6)</t>
  </si>
  <si>
    <t>Sound but generic (4-5)</t>
  </si>
  <si>
    <t>Descriptive only (2-3)</t>
  </si>
  <si>
    <t>Missing (0-1)</t>
  </si>
  <si>
    <t>5. Documentation and reflection</t>
  </si>
  <si>
    <t>Complete AI-use log, limitations, responsible-AI notes and personal reflection</t>
  </si>
  <si>
    <t>Complete and honest (4)</t>
  </si>
  <si>
    <t>Mostly complete (3)</t>
  </si>
  <si>
    <t>Thin (2)</t>
  </si>
  <si>
    <t>Total</t>
  </si>
  <si>
    <t>test_id</t>
  </si>
  <si>
    <t>element_tested</t>
  </si>
  <si>
    <t>send_date</t>
  </si>
  <si>
    <t>variant_a_vs_b</t>
  </si>
  <si>
    <t>a_sent</t>
  </si>
  <si>
    <t>a_opens</t>
  </si>
  <si>
    <t>a_clicks</t>
  </si>
  <si>
    <t>b_sent</t>
  </si>
  <si>
    <t>b_opens</t>
  </si>
  <si>
    <t>b_clicks</t>
  </si>
  <si>
    <t>ABT01</t>
  </si>
  <si>
    <t>Send time</t>
  </si>
  <si>
    <t>'Buy now' vs 'Get my pack'</t>
  </si>
  <si>
    <t>ABT02</t>
  </si>
  <si>
    <t>Hero image</t>
  </si>
  <si>
    <t>'Save Rs 100' vs '20% off'</t>
  </si>
  <si>
    <t>ABT03</t>
  </si>
  <si>
    <t>Subject line</t>
  </si>
  <si>
    <t>ABT04</t>
  </si>
  <si>
    <t>'Flat 20% off today' vs 'Your chai is waiting'</t>
  </si>
  <si>
    <t>ABT05</t>
  </si>
  <si>
    <t>Product shot vs lifestyle photo</t>
  </si>
  <si>
    <t>ABT06</t>
  </si>
  <si>
    <t>ABT07</t>
  </si>
  <si>
    <t>ABT08</t>
  </si>
  <si>
    <t>ABT09</t>
  </si>
  <si>
    <t>No name vs first name</t>
  </si>
  <si>
    <t>ABT10</t>
  </si>
  <si>
    <t>ABT11</t>
  </si>
  <si>
    <t>ABT12</t>
  </si>
  <si>
    <t>Offer framing</t>
  </si>
  <si>
    <t>ABT13</t>
  </si>
  <si>
    <t>ABT14</t>
  </si>
  <si>
    <t>ABT15</t>
  </si>
  <si>
    <t>CTA button text</t>
  </si>
  <si>
    <t>ABT16</t>
  </si>
  <si>
    <t>ABT17</t>
  </si>
  <si>
    <t>ABT18</t>
  </si>
  <si>
    <t>9 am vs 7 pm</t>
  </si>
  <si>
    <t>ABT19</t>
  </si>
  <si>
    <t>ABT20</t>
  </si>
  <si>
    <t>sheet</t>
  </si>
  <si>
    <t>column</t>
  </si>
  <si>
    <t>data_type</t>
  </si>
  <si>
    <t>example_value</t>
  </si>
  <si>
    <t>non_empty_values</t>
  </si>
  <si>
    <t>distinct_values</t>
  </si>
  <si>
    <t>AB Tests</t>
  </si>
  <si>
    <t>Text</t>
  </si>
  <si>
    <t>Date/time</t>
  </si>
  <si>
    <t>2025-12-01</t>
  </si>
  <si>
    <t>Whole number</t>
  </si>
  <si>
    <t>26132</t>
  </si>
  <si>
    <t>5119</t>
  </si>
  <si>
    <t>667</t>
  </si>
  <si>
    <t>6048</t>
  </si>
  <si>
    <t>800</t>
  </si>
  <si>
    <t>AI Use Log - fill one row per prompt (minimum 15). Yellow cells are for you to fill; row 4 is an example.</t>
  </si>
  <si>
    <t>Evidence = shared chat link or screenshot file name. Keep rejected outputs too - they earn marks under 'Prompting and iteration'.</t>
  </si>
  <si>
    <t>#</t>
  </si>
  <si>
    <t>date</t>
  </si>
  <si>
    <t>tool</t>
  </si>
  <si>
    <t>model / mode</t>
  </si>
  <si>
    <t>settings used (if any)</t>
  </si>
  <si>
    <t>prompt (exact text)</t>
  </si>
  <si>
    <t>what the output did well / badly</t>
  </si>
  <si>
    <t>what I changed next and why</t>
  </si>
  <si>
    <t>kept or rejected</t>
  </si>
  <si>
    <t>evidence link / file</t>
  </si>
  <si>
    <t>a_open_rate</t>
  </si>
  <si>
    <t>a_click_rate</t>
  </si>
  <si>
    <t>b_open_rate</t>
  </si>
  <si>
    <t>b_click_rate</t>
  </si>
  <si>
    <t>Kept</t>
  </si>
  <si>
    <t>Claude</t>
  </si>
  <si>
    <t>Build a simple HTML tool where I enter sent, opens, and clicks for Variant A and B. Calculate open rate and click rate for each as percentages.</t>
  </si>
  <si>
    <t>Correctly calculated open and click rates as percentages. Did not include a significance test, so I couldn't tell if a difference was trustworthy</t>
  </si>
  <si>
    <t>Added a prompt asking for a two-proportion z-test, since rates alone don't say whether a result is real</t>
  </si>
  <si>
    <t>https://claude.ai/artifact/NsBxpoMhMxFzF5M3pxvVGu</t>
  </si>
  <si>
    <t>Now add a two-proportion z-test comparing A and B for opens, and another for clicks. Show the z-score, p-value, and whether the result is significant at 5%.</t>
  </si>
  <si>
    <t>Correctly added the z-test, p-value, and a significant/not-significant verdict for both opens and clicks</t>
  </si>
  <si>
    <t>Added a prompt for input validation, since the tool didn't yet check for bad data entry</t>
  </si>
  <si>
    <t>Add input validation — warn me if opens is greater than sent, or if any field is empty or negative.</t>
  </si>
  <si>
    <t>Correctly flagged invalid entries with clear warning messages</t>
  </si>
  <si>
    <t>Added a prompt for bulk mode, since I need to run all 20 tests at once</t>
  </si>
  <si>
    <t xml:space="preserve">	Add a bulk mode where I can paste all 20 rows at once and get one results table, plus a summary grouped by element_tested.</t>
  </si>
  <si>
    <t>Correctly produced one table for all 20 rows plus a summary count of wins by element_tested</t>
  </si>
  <si>
    <t>None needed yet — moved to verifying the numbers against my own Excel calculations</t>
  </si>
  <si>
    <t>Here is row ABT01 from my Excel: A sent 26132, opens 5119, clicks 667; B sent 26132, opens 6048, clicks 800. My own Excel formula gives an open rate of 19.59% for A. Does your tool's output match?</t>
  </si>
  <si>
    <t>Tool's open rate for A matched my Excel formula exactly (19.59%)</t>
  </si>
  <si>
    <t>None — confirmed the tool's math is reliable</t>
  </si>
  <si>
    <t>Test the tool with Variant A opens = 50 and sent = 20 (opens greater than sent, an invalid case). What happens?</t>
  </si>
  <si>
    <t>Correctly rejected the entry with an error message instead of calculating a wrong rate</t>
  </si>
  <si>
    <t>None — confirms the validation works as intended</t>
  </si>
  <si>
    <t>Test the tool with a very small sample: A sent 50, opens 10; B sent 50, opens 20. Does it still call this significant?</t>
  </si>
  <si>
    <t>Correctly showed a result that was not significant, warning that the sample size is too small to trust</t>
  </si>
  <si>
    <t>None — confirms the tool is cautious with small samples, as expected</t>
  </si>
  <si>
    <t>Add a button so results only appear after I press it, instead of updating automatically every time I paste or type.</t>
  </si>
  <si>
    <t>Correctly added an "Analyse pasted data" button and removed the auto-run behaviour; Single test section kept its live updates, which was still wanted there</t>
  </si>
  <si>
    <t>Next asked for a pop-up confirmation after pressing the button, since the status text alone was easy to miss</t>
  </si>
  <si>
    <t>Also add a pop-up so that after I click "Analyse pasted data" and the results are ready, it shows me a confirmation message.</t>
  </si>
  <si>
    <t>Correctly added a toast-style pop-up at the bottom of the screen that appears after clicking the button and fades away automatically; shows a different message/colour if the data had errors</t>
  </si>
  <si>
    <t>None needed — tested it by pasting data and confirming the pop-up appeared</t>
  </si>
  <si>
    <t xml:space="preserve">	Add a "Copy results table" button like the one in my other tool, so I can copy the results and the element-summary table and paste them straight into Excel.</t>
  </si>
  <si>
    <t>Correctly added a button that copies both tables together as one block, shows a confirmation pop-up when copied, and warns me if I try to copy before analysing any data</t>
  </si>
  <si>
    <t>None needed — tested it by copying and pasting into Excel; the numbers matched my own formulas</t>
  </si>
  <si>
    <t>open_z</t>
  </si>
  <si>
    <t>open_p</t>
  </si>
  <si>
    <t>open_result</t>
  </si>
  <si>
    <t>click_z</t>
  </si>
  <si>
    <t>click_p</t>
  </si>
  <si>
    <t>click_result</t>
  </si>
  <si>
    <t>&lt; 0.0001</t>
  </si>
  <si>
    <t>B higher</t>
  </si>
  <si>
    <t>Not significant</t>
  </si>
  <si>
    <t>A higher</t>
  </si>
  <si>
    <t>tests</t>
  </si>
  <si>
    <t>open_won_A_B_none</t>
  </si>
  <si>
    <t>click_won_A_B_none</t>
  </si>
  <si>
    <t>A1 B2 N2</t>
  </si>
  <si>
    <t>A0 B3 N2</t>
  </si>
  <si>
    <t>A1 B3 N0</t>
  </si>
  <si>
    <t>A1 B2 N1</t>
  </si>
  <si>
    <t>A1 B4 N1</t>
  </si>
  <si>
    <t>A3 B1 N2</t>
  </si>
  <si>
    <t>A1 B1 N1</t>
  </si>
  <si>
    <t>A0 B2 N0</t>
  </si>
  <si>
    <t>A1 B1 N0</t>
  </si>
  <si>
    <t xml:space="preserve">	The win-count column is showing dates like 01-03-2002 instead of numbers like 1/3/2 when I paste it into Excel.</t>
  </si>
  <si>
    <t>Badly: the tool was writing counts as "1/3/2," which Excel misread as a date and silently converted. Everything else in the table was correct</t>
  </si>
  <si>
    <t>Changed the format to "A1 B3 N2" instead of slashes, so Excel can no longer mistake it for a date. Re-tested by copying and pasting again — displayed correctly this time</t>
  </si>
  <si>
    <t>https://claude.ai/artifact/YZg3Nzp6x4umrHzj7TbLgR</t>
  </si>
  <si>
    <t>Sr. No.</t>
  </si>
  <si>
    <t>Reasoning</t>
  </si>
  <si>
    <t>Test the B-style (later) send time against an even later time, e.g. 7pm vs 9pm</t>
  </si>
  <si>
    <t>Send time was the most one-sided category on clicks (3/3 B wins); worth finding how far the trend extends</t>
  </si>
  <si>
    <t>Test a subject line optimised purely for clicks against the current B-style subject line</t>
  </si>
  <si>
    <t>Subject line is the only category where the open-winner and click-winner diverge; this directly tests whether both can be won together</t>
  </si>
  <si>
    <t>Test the current B-style hero image against a second, different B-style image</t>
  </si>
  <si>
    <t>Hero image had the strongest open-rate win rate after Send time (3/1); worth refining within the winning direction</t>
  </si>
  <si>
    <t>Test B-style Offer framing combined with B-style Send time together</t>
  </si>
  <si>
    <t>No test so far has combined two winning elements; this checks whether gains stack or overlap</t>
  </si>
  <si>
    <t>Re-test CTA button text with a larger sample size</t>
  </si>
  <si>
    <t>Only 2 CTA tests were run (the smallest group), split 1 A-win / 1 B-win on clicks — not enough data to trust a pattern yet</t>
  </si>
  <si>
    <t>Test idea</t>
  </si>
  <si>
    <t>Partly kept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</si>
</sst>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0"/>
      <name val="Arial"/>
      <charset val="1"/>
    </font>
    <font>
      <b/>
      <sz val="14"/>
      <color rgb="FF1F4E5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b/>
      <sz val="12"/>
      <color rgb="FF1F4E5A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i/>
      <sz val="9"/>
      <color rgb="FF555555"/>
      <name val="Arial"/>
      <charset val="1"/>
    </font>
    <font>
      <i/>
      <sz val="10"/>
      <color rgb="FF666666"/>
      <name val="Arial"/>
      <charset val="1"/>
    </font>
    <font>
      <sz val="10"/>
      <name val="Arial"/>
      <family val="2"/>
    </font>
    <font>
      <u/>
      <sz val="10"/>
      <color theme="10"/>
      <name val="Arial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4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  <border>
      <left style="thin">
        <color rgb="FFC9D3D6"/>
      </left>
      <right style="thin">
        <color rgb="FFC9D3D6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top" wrapText="1"/>
    </xf>
    <xf numFmtId="0" fontId="3" fillId="0" borderId="0" xfId="0" applyFont="1"/>
    <xf numFmtId="164" fontId="6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vertical="top" wrapText="1"/>
    </xf>
    <xf numFmtId="164" fontId="6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center" wrapText="1"/>
    </xf>
    <xf numFmtId="0" fontId="9" fillId="0" borderId="0" xfId="0" applyFont="1"/>
    <xf numFmtId="164" fontId="10" fillId="4" borderId="1" xfId="1" applyNumberFormat="1" applyFill="1" applyBorder="1" applyAlignment="1">
      <alignment vertical="top" wrapText="1"/>
    </xf>
    <xf numFmtId="10" fontId="0" fillId="0" borderId="0" xfId="0" applyNumberFormat="1"/>
    <xf numFmtId="0" fontId="11" fillId="0" borderId="0" xfId="0" applyFont="1" applyAlignment="1">
      <alignment vertical="top"/>
    </xf>
    <xf numFmtId="0" fontId="11" fillId="0" borderId="3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claude.ai/artifact/NsBxpoMhMxFzF5M3pxvVGu" TargetMode="External"/><Relationship Id="rId3" Type="http://schemas.openxmlformats.org/officeDocument/2006/relationships/hyperlink" Target="https://claude.ai/artifact/NsBxpoMhMxFzF5M3pxvVGu" TargetMode="External"/><Relationship Id="rId7" Type="http://schemas.openxmlformats.org/officeDocument/2006/relationships/hyperlink" Target="https://claude.ai/artifact/NsBxpoMhMxFzF5M3pxvVGu" TargetMode="External"/><Relationship Id="rId2" Type="http://schemas.openxmlformats.org/officeDocument/2006/relationships/hyperlink" Target="https://claude.ai/artifact/NsBxpoMhMxFzF5M3pxvVGu" TargetMode="External"/><Relationship Id="rId1" Type="http://schemas.openxmlformats.org/officeDocument/2006/relationships/hyperlink" Target="https://claude.ai/artifact/NsBxpoMhMxFzF5M3pxvVGu" TargetMode="External"/><Relationship Id="rId6" Type="http://schemas.openxmlformats.org/officeDocument/2006/relationships/hyperlink" Target="https://claude.ai/artifact/NsBxpoMhMxFzF5M3pxvVGu" TargetMode="External"/><Relationship Id="rId11" Type="http://schemas.openxmlformats.org/officeDocument/2006/relationships/hyperlink" Target="https://claude.ai/artifact/YZg3Nzp6x4umrHzj7TbLgR" TargetMode="External"/><Relationship Id="rId5" Type="http://schemas.openxmlformats.org/officeDocument/2006/relationships/hyperlink" Target="https://claude.ai/artifact/NsBxpoMhMxFzF5M3pxvVGu" TargetMode="External"/><Relationship Id="rId10" Type="http://schemas.openxmlformats.org/officeDocument/2006/relationships/hyperlink" Target="https://claude.ai/artifact/NsBxpoMhMxFzF5M3pxvVGu" TargetMode="External"/><Relationship Id="rId4" Type="http://schemas.openxmlformats.org/officeDocument/2006/relationships/hyperlink" Target="https://claude.ai/artifact/NsBxpoMhMxFzF5M3pxvVGu" TargetMode="External"/><Relationship Id="rId9" Type="http://schemas.openxmlformats.org/officeDocument/2006/relationships/hyperlink" Target="https://claude.ai/artifact/NsBxpoMhMxFzF5M3pxvV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opLeftCell="A7" zoomScaleNormal="100" workbookViewId="0"/>
  </sheetViews>
  <sheetFormatPr defaultColWidth="8.6640625" defaultRowHeight="13.2" x14ac:dyDescent="0.25"/>
  <cols>
    <col min="1" max="1" width="26" customWidth="1"/>
    <col min="2" max="2" width="95" customWidth="1"/>
    <col min="3" max="3" width="10" customWidth="1"/>
    <col min="4" max="4" width="22" customWidth="1"/>
    <col min="5" max="6" width="20" customWidth="1"/>
    <col min="7" max="7" width="16" customWidth="1"/>
  </cols>
  <sheetData>
    <row r="1" spans="1:2" ht="17.399999999999999" x14ac:dyDescent="0.3">
      <c r="A1" s="1" t="s">
        <v>0</v>
      </c>
    </row>
    <row r="2" spans="1:2" x14ac:dyDescent="0.25">
      <c r="A2" s="2" t="s">
        <v>1</v>
      </c>
    </row>
    <row r="4" spans="1:2" ht="18" customHeight="1" x14ac:dyDescent="0.25">
      <c r="A4" s="3" t="s">
        <v>2</v>
      </c>
      <c r="B4" s="4" t="s">
        <v>3</v>
      </c>
    </row>
    <row r="5" spans="1:2" ht="18" customHeight="1" x14ac:dyDescent="0.25">
      <c r="A5" s="3" t="s">
        <v>4</v>
      </c>
      <c r="B5" s="4" t="s">
        <v>5</v>
      </c>
    </row>
    <row r="6" spans="1:2" ht="18" customHeight="1" x14ac:dyDescent="0.25">
      <c r="A6" s="3" t="s">
        <v>6</v>
      </c>
      <c r="B6" s="4" t="s">
        <v>7</v>
      </c>
    </row>
    <row r="7" spans="1:2" ht="27.75" customHeight="1" x14ac:dyDescent="0.25">
      <c r="A7" s="3" t="s">
        <v>8</v>
      </c>
      <c r="B7" s="4" t="s">
        <v>9</v>
      </c>
    </row>
    <row r="8" spans="1:2" ht="69.75" customHeight="1" x14ac:dyDescent="0.25">
      <c r="A8" s="3" t="s">
        <v>10</v>
      </c>
      <c r="B8" s="4" t="s">
        <v>11</v>
      </c>
    </row>
    <row r="9" spans="1:2" ht="18" customHeight="1" x14ac:dyDescent="0.25">
      <c r="A9" s="3" t="s">
        <v>12</v>
      </c>
      <c r="B9" s="4" t="s">
        <v>13</v>
      </c>
    </row>
    <row r="10" spans="1:2" ht="27.75" customHeight="1" x14ac:dyDescent="0.25">
      <c r="A10" s="3" t="s">
        <v>14</v>
      </c>
      <c r="B10" s="4" t="s">
        <v>15</v>
      </c>
    </row>
    <row r="11" spans="1:2" ht="42" customHeight="1" x14ac:dyDescent="0.25">
      <c r="A11" s="3" t="s">
        <v>16</v>
      </c>
      <c r="B11" s="4" t="s">
        <v>17</v>
      </c>
    </row>
    <row r="12" spans="1:2" ht="18" customHeight="1" x14ac:dyDescent="0.25">
      <c r="A12" s="3" t="s">
        <v>18</v>
      </c>
      <c r="B12" s="4" t="s">
        <v>19</v>
      </c>
    </row>
    <row r="13" spans="1:2" ht="27.75" customHeight="1" x14ac:dyDescent="0.25">
      <c r="A13" s="3" t="s">
        <v>20</v>
      </c>
      <c r="B13" s="4" t="s">
        <v>21</v>
      </c>
    </row>
    <row r="14" spans="1:2" ht="42" customHeight="1" x14ac:dyDescent="0.25">
      <c r="A14" s="3" t="s">
        <v>22</v>
      </c>
      <c r="B14" s="4" t="s">
        <v>23</v>
      </c>
    </row>
    <row r="16" spans="1:2" ht="15.6" x14ac:dyDescent="0.3">
      <c r="A16" s="5" t="s">
        <v>24</v>
      </c>
    </row>
    <row r="17" spans="1:7" x14ac:dyDescent="0.25">
      <c r="A17" s="6" t="s">
        <v>25</v>
      </c>
      <c r="B17" s="6" t="s">
        <v>26</v>
      </c>
      <c r="C17" s="6" t="s">
        <v>27</v>
      </c>
      <c r="D17" s="6" t="s">
        <v>28</v>
      </c>
      <c r="E17" s="6" t="s">
        <v>29</v>
      </c>
      <c r="F17" s="6" t="s">
        <v>30</v>
      </c>
      <c r="G17" s="6" t="s">
        <v>31</v>
      </c>
    </row>
    <row r="18" spans="1:7" ht="42" customHeight="1" x14ac:dyDescent="0.25">
      <c r="A18" s="7" t="s">
        <v>32</v>
      </c>
      <c r="B18" s="7" t="s">
        <v>33</v>
      </c>
      <c r="C18" s="7">
        <v>8</v>
      </c>
      <c r="D18" s="7" t="s">
        <v>34</v>
      </c>
      <c r="E18" s="7" t="s">
        <v>35</v>
      </c>
      <c r="F18" s="7" t="s">
        <v>36</v>
      </c>
      <c r="G18" s="7" t="s">
        <v>37</v>
      </c>
    </row>
    <row r="19" spans="1:7" ht="42" customHeight="1" x14ac:dyDescent="0.25">
      <c r="A19" s="7" t="s">
        <v>38</v>
      </c>
      <c r="B19" s="7" t="s">
        <v>39</v>
      </c>
      <c r="C19" s="7">
        <v>7</v>
      </c>
      <c r="D19" s="7" t="s">
        <v>40</v>
      </c>
      <c r="E19" s="7" t="s">
        <v>41</v>
      </c>
      <c r="F19" s="7" t="s">
        <v>42</v>
      </c>
      <c r="G19" s="7" t="s">
        <v>43</v>
      </c>
    </row>
    <row r="20" spans="1:7" ht="42" customHeight="1" x14ac:dyDescent="0.25">
      <c r="A20" s="7" t="s">
        <v>44</v>
      </c>
      <c r="B20" s="7" t="s">
        <v>45</v>
      </c>
      <c r="C20" s="7">
        <v>5</v>
      </c>
      <c r="D20" s="7" t="s">
        <v>46</v>
      </c>
      <c r="E20" s="7" t="s">
        <v>47</v>
      </c>
      <c r="F20" s="7" t="s">
        <v>48</v>
      </c>
      <c r="G20" s="7" t="s">
        <v>49</v>
      </c>
    </row>
    <row r="21" spans="1:7" ht="42" customHeight="1" x14ac:dyDescent="0.25">
      <c r="A21" s="7" t="s">
        <v>50</v>
      </c>
      <c r="B21" s="7" t="s">
        <v>51</v>
      </c>
      <c r="C21" s="7">
        <v>6</v>
      </c>
      <c r="D21" s="7" t="s">
        <v>52</v>
      </c>
      <c r="E21" s="7" t="s">
        <v>53</v>
      </c>
      <c r="F21" s="7" t="s">
        <v>54</v>
      </c>
      <c r="G21" s="7" t="s">
        <v>55</v>
      </c>
    </row>
    <row r="22" spans="1:7" ht="42" customHeight="1" x14ac:dyDescent="0.25">
      <c r="A22" s="7" t="s">
        <v>56</v>
      </c>
      <c r="B22" s="7" t="s">
        <v>57</v>
      </c>
      <c r="C22" s="7">
        <v>4</v>
      </c>
      <c r="D22" s="7" t="s">
        <v>58</v>
      </c>
      <c r="E22" s="7" t="s">
        <v>59</v>
      </c>
      <c r="F22" s="7" t="s">
        <v>60</v>
      </c>
      <c r="G22" s="7" t="s">
        <v>55</v>
      </c>
    </row>
    <row r="23" spans="1:7" x14ac:dyDescent="0.25">
      <c r="A23" s="8" t="s">
        <v>61</v>
      </c>
      <c r="C23" s="8">
        <f>SUM(C18:C22)</f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"/>
  <sheetViews>
    <sheetView zoomScaleNormal="100" workbookViewId="0">
      <pane ySplit="1" topLeftCell="A2" activePane="bottomLeft" state="frozen"/>
      <selection pane="bottomLeft" sqref="A1:N21"/>
    </sheetView>
  </sheetViews>
  <sheetFormatPr defaultColWidth="8.6640625" defaultRowHeight="13.2" x14ac:dyDescent="0.25"/>
  <cols>
    <col min="1" max="1" width="10" customWidth="1"/>
    <col min="2" max="2" width="16" customWidth="1"/>
    <col min="3" max="3" width="12" customWidth="1"/>
    <col min="4" max="4" width="26" customWidth="1"/>
    <col min="5" max="10" width="10" customWidth="1"/>
    <col min="11" max="11" width="8.6640625" customWidth="1"/>
  </cols>
  <sheetData>
    <row r="1" spans="1:14" ht="26.4" x14ac:dyDescent="0.25">
      <c r="A1" s="6" t="s">
        <v>62</v>
      </c>
      <c r="B1" s="6" t="s">
        <v>63</v>
      </c>
      <c r="C1" s="6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6" t="s">
        <v>71</v>
      </c>
      <c r="K1" s="14" t="s">
        <v>131</v>
      </c>
      <c r="L1" s="14" t="s">
        <v>132</v>
      </c>
      <c r="M1" s="14" t="s">
        <v>133</v>
      </c>
      <c r="N1" s="14" t="s">
        <v>134</v>
      </c>
    </row>
    <row r="2" spans="1:14" ht="14.4" x14ac:dyDescent="0.3">
      <c r="A2" t="s">
        <v>72</v>
      </c>
      <c r="B2" t="s">
        <v>73</v>
      </c>
      <c r="C2" s="9">
        <v>45992</v>
      </c>
      <c r="D2" t="s">
        <v>74</v>
      </c>
      <c r="E2">
        <v>26132</v>
      </c>
      <c r="F2">
        <v>5119</v>
      </c>
      <c r="G2">
        <v>667</v>
      </c>
      <c r="H2">
        <v>26132</v>
      </c>
      <c r="I2">
        <v>6048</v>
      </c>
      <c r="J2">
        <v>800</v>
      </c>
      <c r="K2">
        <f>F2/E2</f>
        <v>0.19589009643349151</v>
      </c>
      <c r="L2">
        <f>G2/E2</f>
        <v>2.5524261441910303E-2</v>
      </c>
      <c r="M2">
        <f>I2/H2</f>
        <v>0.23144037961120464</v>
      </c>
      <c r="N2" s="15">
        <f>J2/H2</f>
        <v>3.0613806826878923E-2</v>
      </c>
    </row>
    <row r="3" spans="1:14" ht="14.4" x14ac:dyDescent="0.3">
      <c r="A3" t="s">
        <v>75</v>
      </c>
      <c r="B3" t="s">
        <v>76</v>
      </c>
      <c r="C3" s="9">
        <v>45975</v>
      </c>
      <c r="D3" t="s">
        <v>77</v>
      </c>
      <c r="E3">
        <v>20400</v>
      </c>
      <c r="F3">
        <v>5217</v>
      </c>
      <c r="G3">
        <v>534</v>
      </c>
      <c r="H3">
        <v>20400</v>
      </c>
      <c r="I3">
        <v>6368</v>
      </c>
      <c r="J3">
        <v>641</v>
      </c>
      <c r="K3">
        <f t="shared" ref="K3:K21" si="0">F3/E3</f>
        <v>0.25573529411764706</v>
      </c>
      <c r="L3">
        <f t="shared" ref="L3:L21" si="1">G3/E3</f>
        <v>2.6176470588235294E-2</v>
      </c>
      <c r="M3">
        <f t="shared" ref="M3:M21" si="2">I3/H3</f>
        <v>0.31215686274509802</v>
      </c>
      <c r="N3" s="15">
        <f t="shared" ref="N3:N21" si="3">J3/H3</f>
        <v>3.1421568627450977E-2</v>
      </c>
    </row>
    <row r="4" spans="1:14" ht="14.4" x14ac:dyDescent="0.3">
      <c r="A4" t="s">
        <v>78</v>
      </c>
      <c r="B4" t="s">
        <v>79</v>
      </c>
      <c r="C4" s="9">
        <v>45972</v>
      </c>
      <c r="D4" t="s">
        <v>74</v>
      </c>
      <c r="E4">
        <v>20465</v>
      </c>
      <c r="F4">
        <v>4783</v>
      </c>
      <c r="G4">
        <v>428</v>
      </c>
      <c r="H4">
        <v>20465</v>
      </c>
      <c r="I4">
        <v>5044</v>
      </c>
      <c r="J4">
        <v>465</v>
      </c>
      <c r="K4">
        <f t="shared" si="0"/>
        <v>0.23371610065966283</v>
      </c>
      <c r="L4">
        <f t="shared" si="1"/>
        <v>2.0913755191790864E-2</v>
      </c>
      <c r="M4">
        <f t="shared" si="2"/>
        <v>0.24646958221353529</v>
      </c>
      <c r="N4" s="15">
        <f t="shared" si="3"/>
        <v>2.2721720009772784E-2</v>
      </c>
    </row>
    <row r="5" spans="1:14" ht="14.4" x14ac:dyDescent="0.3">
      <c r="A5" t="s">
        <v>80</v>
      </c>
      <c r="B5" t="s">
        <v>79</v>
      </c>
      <c r="C5" s="9">
        <v>46038</v>
      </c>
      <c r="D5" t="s">
        <v>81</v>
      </c>
      <c r="E5">
        <v>29791</v>
      </c>
      <c r="F5">
        <v>6790</v>
      </c>
      <c r="G5">
        <v>1576</v>
      </c>
      <c r="H5">
        <v>29791</v>
      </c>
      <c r="I5">
        <v>7389</v>
      </c>
      <c r="J5">
        <v>1300</v>
      </c>
      <c r="K5">
        <f t="shared" si="0"/>
        <v>0.22792118425027694</v>
      </c>
      <c r="L5">
        <f t="shared" si="1"/>
        <v>5.2901883119062805E-2</v>
      </c>
      <c r="M5">
        <f t="shared" si="2"/>
        <v>0.24802792789768721</v>
      </c>
      <c r="N5" s="15">
        <f t="shared" si="3"/>
        <v>4.3637340136282773E-2</v>
      </c>
    </row>
    <row r="6" spans="1:14" ht="14.4" x14ac:dyDescent="0.3">
      <c r="A6" t="s">
        <v>82</v>
      </c>
      <c r="B6" t="s">
        <v>73</v>
      </c>
      <c r="C6" s="9">
        <v>46066</v>
      </c>
      <c r="D6" t="s">
        <v>83</v>
      </c>
      <c r="E6">
        <v>8072</v>
      </c>
      <c r="F6">
        <v>1350</v>
      </c>
      <c r="G6">
        <v>172</v>
      </c>
      <c r="H6">
        <v>8072</v>
      </c>
      <c r="I6">
        <v>1355</v>
      </c>
      <c r="J6">
        <v>215</v>
      </c>
      <c r="K6">
        <f t="shared" si="0"/>
        <v>0.16724479682854312</v>
      </c>
      <c r="L6">
        <f t="shared" si="1"/>
        <v>2.130822596630327E-2</v>
      </c>
      <c r="M6">
        <f t="shared" si="2"/>
        <v>0.16786422200198217</v>
      </c>
      <c r="N6" s="15">
        <f t="shared" si="3"/>
        <v>2.6635282457879089E-2</v>
      </c>
    </row>
    <row r="7" spans="1:14" ht="14.4" x14ac:dyDescent="0.3">
      <c r="A7" t="s">
        <v>84</v>
      </c>
      <c r="B7" t="s">
        <v>79</v>
      </c>
      <c r="C7" s="9">
        <v>45924</v>
      </c>
      <c r="D7" t="s">
        <v>74</v>
      </c>
      <c r="E7">
        <v>7875</v>
      </c>
      <c r="F7">
        <v>1766</v>
      </c>
      <c r="G7">
        <v>195</v>
      </c>
      <c r="H7">
        <v>7875</v>
      </c>
      <c r="I7">
        <v>1840</v>
      </c>
      <c r="J7">
        <v>237</v>
      </c>
      <c r="K7">
        <f t="shared" si="0"/>
        <v>0.22425396825396826</v>
      </c>
      <c r="L7">
        <f t="shared" si="1"/>
        <v>2.4761904761904763E-2</v>
      </c>
      <c r="M7">
        <f t="shared" si="2"/>
        <v>0.23365079365079366</v>
      </c>
      <c r="N7" s="15">
        <f t="shared" si="3"/>
        <v>3.0095238095238095E-2</v>
      </c>
    </row>
    <row r="8" spans="1:14" ht="14.4" x14ac:dyDescent="0.3">
      <c r="A8" t="s">
        <v>85</v>
      </c>
      <c r="B8" t="s">
        <v>73</v>
      </c>
      <c r="C8" s="9">
        <v>46041</v>
      </c>
      <c r="D8" t="s">
        <v>83</v>
      </c>
      <c r="E8">
        <v>15348</v>
      </c>
      <c r="F8">
        <v>4295</v>
      </c>
      <c r="G8">
        <v>890</v>
      </c>
      <c r="H8">
        <v>15348</v>
      </c>
      <c r="I8">
        <v>4185</v>
      </c>
      <c r="J8">
        <v>950</v>
      </c>
      <c r="K8">
        <f t="shared" si="0"/>
        <v>0.27984102163148294</v>
      </c>
      <c r="L8">
        <f t="shared" si="1"/>
        <v>5.7988011467292155E-2</v>
      </c>
      <c r="M8">
        <f t="shared" si="2"/>
        <v>0.27267396403440186</v>
      </c>
      <c r="N8" s="15">
        <f t="shared" si="3"/>
        <v>6.1897315611154545E-2</v>
      </c>
    </row>
    <row r="9" spans="1:14" ht="14.4" x14ac:dyDescent="0.3">
      <c r="A9" t="s">
        <v>86</v>
      </c>
      <c r="B9" t="s">
        <v>76</v>
      </c>
      <c r="C9" s="9">
        <v>45950</v>
      </c>
      <c r="D9" t="s">
        <v>74</v>
      </c>
      <c r="E9">
        <v>28932</v>
      </c>
      <c r="F9">
        <v>6364</v>
      </c>
      <c r="G9">
        <v>687</v>
      </c>
      <c r="H9">
        <v>28932</v>
      </c>
      <c r="I9">
        <v>6675</v>
      </c>
      <c r="J9">
        <v>673</v>
      </c>
      <c r="K9">
        <f t="shared" si="0"/>
        <v>0.21996405364302501</v>
      </c>
      <c r="L9">
        <f t="shared" si="1"/>
        <v>2.3745333886354209E-2</v>
      </c>
      <c r="M9">
        <f t="shared" si="2"/>
        <v>0.23071339693073414</v>
      </c>
      <c r="N9" s="15">
        <f t="shared" si="3"/>
        <v>2.3261440619383383E-2</v>
      </c>
    </row>
    <row r="10" spans="1:14" ht="14.4" x14ac:dyDescent="0.3">
      <c r="A10" t="s">
        <v>87</v>
      </c>
      <c r="B10" t="s">
        <v>76</v>
      </c>
      <c r="C10" s="9">
        <v>46049</v>
      </c>
      <c r="D10" t="s">
        <v>88</v>
      </c>
      <c r="E10">
        <v>8820</v>
      </c>
      <c r="F10">
        <v>2046</v>
      </c>
      <c r="G10">
        <v>508</v>
      </c>
      <c r="H10">
        <v>8820</v>
      </c>
      <c r="I10">
        <v>1852</v>
      </c>
      <c r="J10">
        <v>416</v>
      </c>
      <c r="K10">
        <f t="shared" si="0"/>
        <v>0.23197278911564626</v>
      </c>
      <c r="L10">
        <f t="shared" si="1"/>
        <v>5.7596371882086168E-2</v>
      </c>
      <c r="M10">
        <f t="shared" si="2"/>
        <v>0.20997732426303856</v>
      </c>
      <c r="N10" s="15">
        <f t="shared" si="3"/>
        <v>4.7165532879818596E-2</v>
      </c>
    </row>
    <row r="11" spans="1:14" ht="14.4" x14ac:dyDescent="0.3">
      <c r="A11" t="s">
        <v>89</v>
      </c>
      <c r="B11" t="s">
        <v>79</v>
      </c>
      <c r="C11" s="9">
        <v>46059</v>
      </c>
      <c r="D11" t="s">
        <v>88</v>
      </c>
      <c r="E11">
        <v>5699</v>
      </c>
      <c r="F11">
        <v>1517</v>
      </c>
      <c r="G11">
        <v>260</v>
      </c>
      <c r="H11">
        <v>5699</v>
      </c>
      <c r="I11">
        <v>1784</v>
      </c>
      <c r="J11">
        <v>216</v>
      </c>
      <c r="K11">
        <f t="shared" si="0"/>
        <v>0.26618705035971224</v>
      </c>
      <c r="L11">
        <f t="shared" si="1"/>
        <v>4.5622038954202492E-2</v>
      </c>
      <c r="M11">
        <f t="shared" si="2"/>
        <v>0.31303737497806633</v>
      </c>
      <c r="N11" s="15">
        <f t="shared" si="3"/>
        <v>3.7901386208106687E-2</v>
      </c>
    </row>
    <row r="12" spans="1:14" ht="14.4" x14ac:dyDescent="0.3">
      <c r="A12" t="s">
        <v>90</v>
      </c>
      <c r="B12" t="s">
        <v>76</v>
      </c>
      <c r="C12" s="9">
        <v>45965</v>
      </c>
      <c r="D12" t="s">
        <v>88</v>
      </c>
      <c r="E12">
        <v>20166</v>
      </c>
      <c r="F12">
        <v>3664</v>
      </c>
      <c r="G12">
        <v>487</v>
      </c>
      <c r="H12">
        <v>20166</v>
      </c>
      <c r="I12">
        <v>3843</v>
      </c>
      <c r="J12">
        <v>614</v>
      </c>
      <c r="K12">
        <f t="shared" si="0"/>
        <v>0.18169195675890112</v>
      </c>
      <c r="L12">
        <f t="shared" si="1"/>
        <v>2.4149558663096302E-2</v>
      </c>
      <c r="M12">
        <f t="shared" si="2"/>
        <v>0.19056828324903302</v>
      </c>
      <c r="N12" s="15">
        <f t="shared" si="3"/>
        <v>3.0447287513636814E-2</v>
      </c>
    </row>
    <row r="13" spans="1:14" ht="14.4" x14ac:dyDescent="0.3">
      <c r="A13" t="s">
        <v>91</v>
      </c>
      <c r="B13" t="s">
        <v>92</v>
      </c>
      <c r="C13" s="9">
        <v>45997</v>
      </c>
      <c r="D13" t="s">
        <v>74</v>
      </c>
      <c r="E13">
        <v>22807</v>
      </c>
      <c r="F13">
        <v>5995</v>
      </c>
      <c r="G13">
        <v>608</v>
      </c>
      <c r="H13">
        <v>22807</v>
      </c>
      <c r="I13">
        <v>6613</v>
      </c>
      <c r="J13">
        <v>622</v>
      </c>
      <c r="K13">
        <f t="shared" si="0"/>
        <v>0.26285789450607272</v>
      </c>
      <c r="L13">
        <f t="shared" si="1"/>
        <v>2.6658482044986189E-2</v>
      </c>
      <c r="M13">
        <f t="shared" si="2"/>
        <v>0.28995483842679881</v>
      </c>
      <c r="N13" s="15">
        <f t="shared" si="3"/>
        <v>2.7272328671022056E-2</v>
      </c>
    </row>
    <row r="14" spans="1:14" ht="14.4" x14ac:dyDescent="0.3">
      <c r="A14" t="s">
        <v>93</v>
      </c>
      <c r="B14" t="s">
        <v>79</v>
      </c>
      <c r="C14" s="9">
        <v>45858</v>
      </c>
      <c r="D14" t="s">
        <v>77</v>
      </c>
      <c r="E14">
        <v>16554</v>
      </c>
      <c r="F14">
        <v>3547</v>
      </c>
      <c r="G14">
        <v>981</v>
      </c>
      <c r="H14">
        <v>16554</v>
      </c>
      <c r="I14">
        <v>3707</v>
      </c>
      <c r="J14">
        <v>928</v>
      </c>
      <c r="K14">
        <f t="shared" si="0"/>
        <v>0.21426845475413797</v>
      </c>
      <c r="L14">
        <f t="shared" si="1"/>
        <v>5.9260601667270749E-2</v>
      </c>
      <c r="M14">
        <f t="shared" si="2"/>
        <v>0.22393379243687325</v>
      </c>
      <c r="N14" s="15">
        <f t="shared" si="3"/>
        <v>5.6058958559864688E-2</v>
      </c>
    </row>
    <row r="15" spans="1:14" ht="14.4" x14ac:dyDescent="0.3">
      <c r="A15" t="s">
        <v>94</v>
      </c>
      <c r="B15" t="s">
        <v>79</v>
      </c>
      <c r="C15" s="9">
        <v>45767</v>
      </c>
      <c r="D15" t="s">
        <v>77</v>
      </c>
      <c r="E15">
        <v>21136</v>
      </c>
      <c r="F15">
        <v>6199</v>
      </c>
      <c r="G15">
        <v>504</v>
      </c>
      <c r="H15">
        <v>21136</v>
      </c>
      <c r="I15">
        <v>5602</v>
      </c>
      <c r="J15">
        <v>417</v>
      </c>
      <c r="K15">
        <f t="shared" si="0"/>
        <v>0.2932910673732021</v>
      </c>
      <c r="L15">
        <f t="shared" si="1"/>
        <v>2.384557153671461E-2</v>
      </c>
      <c r="M15">
        <f t="shared" si="2"/>
        <v>0.26504542013626042</v>
      </c>
      <c r="N15" s="15">
        <f t="shared" si="3"/>
        <v>1.9729371688115064E-2</v>
      </c>
    </row>
    <row r="16" spans="1:14" ht="14.4" x14ac:dyDescent="0.3">
      <c r="A16" t="s">
        <v>95</v>
      </c>
      <c r="B16" t="s">
        <v>96</v>
      </c>
      <c r="C16" s="9">
        <v>46075</v>
      </c>
      <c r="D16" t="s">
        <v>77</v>
      </c>
      <c r="E16">
        <v>27311</v>
      </c>
      <c r="F16">
        <v>5338</v>
      </c>
      <c r="G16">
        <v>1086</v>
      </c>
      <c r="H16">
        <v>27311</v>
      </c>
      <c r="I16">
        <v>6064</v>
      </c>
      <c r="J16">
        <v>1178</v>
      </c>
      <c r="K16">
        <f t="shared" si="0"/>
        <v>0.1954523818241734</v>
      </c>
      <c r="L16">
        <f t="shared" si="1"/>
        <v>3.976419757606825E-2</v>
      </c>
      <c r="M16">
        <f t="shared" si="2"/>
        <v>0.222035077441324</v>
      </c>
      <c r="N16" s="15">
        <f t="shared" si="3"/>
        <v>4.3132803632236094E-2</v>
      </c>
    </row>
    <row r="17" spans="1:14" ht="14.4" x14ac:dyDescent="0.3">
      <c r="A17" t="s">
        <v>97</v>
      </c>
      <c r="B17" t="s">
        <v>92</v>
      </c>
      <c r="C17" s="9">
        <v>46003</v>
      </c>
      <c r="D17" t="s">
        <v>74</v>
      </c>
      <c r="E17">
        <v>18004</v>
      </c>
      <c r="F17">
        <v>4169</v>
      </c>
      <c r="G17">
        <v>605</v>
      </c>
      <c r="H17">
        <v>18004</v>
      </c>
      <c r="I17">
        <v>5208</v>
      </c>
      <c r="J17">
        <v>735</v>
      </c>
      <c r="K17">
        <f t="shared" si="0"/>
        <v>0.23155965341035326</v>
      </c>
      <c r="L17">
        <f t="shared" si="1"/>
        <v>3.3603643634747833E-2</v>
      </c>
      <c r="M17">
        <f t="shared" si="2"/>
        <v>0.28926905132192848</v>
      </c>
      <c r="N17" s="15">
        <f t="shared" si="3"/>
        <v>4.082426127527216E-2</v>
      </c>
    </row>
    <row r="18" spans="1:14" ht="14.4" x14ac:dyDescent="0.3">
      <c r="A18" t="s">
        <v>98</v>
      </c>
      <c r="B18" t="s">
        <v>96</v>
      </c>
      <c r="C18" s="9">
        <v>45848</v>
      </c>
      <c r="D18" t="s">
        <v>88</v>
      </c>
      <c r="E18">
        <v>15401</v>
      </c>
      <c r="F18">
        <v>4518</v>
      </c>
      <c r="G18">
        <v>483</v>
      </c>
      <c r="H18">
        <v>15401</v>
      </c>
      <c r="I18">
        <v>5161</v>
      </c>
      <c r="J18">
        <v>415</v>
      </c>
      <c r="K18">
        <f t="shared" si="0"/>
        <v>0.29335757418349456</v>
      </c>
      <c r="L18">
        <f t="shared" si="1"/>
        <v>3.1361599896110641E-2</v>
      </c>
      <c r="M18">
        <f t="shared" si="2"/>
        <v>0.33510810986299588</v>
      </c>
      <c r="N18" s="15">
        <f t="shared" si="3"/>
        <v>2.69463021881696E-2</v>
      </c>
    </row>
    <row r="19" spans="1:14" ht="14.4" x14ac:dyDescent="0.3">
      <c r="A19" t="s">
        <v>99</v>
      </c>
      <c r="B19" t="s">
        <v>73</v>
      </c>
      <c r="C19" s="9">
        <v>45919</v>
      </c>
      <c r="D19" t="s">
        <v>100</v>
      </c>
      <c r="E19">
        <v>11870</v>
      </c>
      <c r="F19">
        <v>2008</v>
      </c>
      <c r="G19">
        <v>670</v>
      </c>
      <c r="H19">
        <v>11870</v>
      </c>
      <c r="I19">
        <v>1746</v>
      </c>
      <c r="J19">
        <v>633</v>
      </c>
      <c r="K19">
        <f t="shared" si="0"/>
        <v>0.16916596461668071</v>
      </c>
      <c r="L19">
        <f t="shared" si="1"/>
        <v>5.6444818871103621E-2</v>
      </c>
      <c r="M19">
        <f t="shared" si="2"/>
        <v>0.14709351305812973</v>
      </c>
      <c r="N19" s="15">
        <f t="shared" si="3"/>
        <v>5.3327716933445658E-2</v>
      </c>
    </row>
    <row r="20" spans="1:14" ht="14.4" x14ac:dyDescent="0.3">
      <c r="A20" t="s">
        <v>101</v>
      </c>
      <c r="B20" t="s">
        <v>73</v>
      </c>
      <c r="C20" s="9">
        <v>45834</v>
      </c>
      <c r="D20" t="s">
        <v>100</v>
      </c>
      <c r="E20">
        <v>27384</v>
      </c>
      <c r="F20">
        <v>6597</v>
      </c>
      <c r="G20">
        <v>785</v>
      </c>
      <c r="H20">
        <v>27384</v>
      </c>
      <c r="I20">
        <v>7418</v>
      </c>
      <c r="J20">
        <v>982</v>
      </c>
      <c r="K20">
        <f t="shared" si="0"/>
        <v>0.24090709903593338</v>
      </c>
      <c r="L20">
        <f t="shared" si="1"/>
        <v>2.8666374525270231E-2</v>
      </c>
      <c r="M20">
        <f t="shared" si="2"/>
        <v>0.27088810984516504</v>
      </c>
      <c r="N20" s="15">
        <f t="shared" si="3"/>
        <v>3.5860356412503652E-2</v>
      </c>
    </row>
    <row r="21" spans="1:14" ht="14.4" x14ac:dyDescent="0.3">
      <c r="A21" t="s">
        <v>102</v>
      </c>
      <c r="B21" t="s">
        <v>92</v>
      </c>
      <c r="C21" s="9">
        <v>45987</v>
      </c>
      <c r="D21" t="s">
        <v>88</v>
      </c>
      <c r="E21">
        <v>29874</v>
      </c>
      <c r="F21">
        <v>8464</v>
      </c>
      <c r="G21">
        <v>1116</v>
      </c>
      <c r="H21">
        <v>29874</v>
      </c>
      <c r="I21">
        <v>7987</v>
      </c>
      <c r="J21">
        <v>916</v>
      </c>
      <c r="K21">
        <f t="shared" si="0"/>
        <v>0.28332329115618932</v>
      </c>
      <c r="L21">
        <f t="shared" si="1"/>
        <v>3.7356898975697932E-2</v>
      </c>
      <c r="M21">
        <f t="shared" si="2"/>
        <v>0.26735622949722165</v>
      </c>
      <c r="N21" s="15">
        <f t="shared" si="3"/>
        <v>3.0662114213028051E-2</v>
      </c>
    </row>
  </sheetData>
  <autoFilter ref="A1:N21" xr:uid="{00000000-0001-0000-0100-000000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3.2" x14ac:dyDescent="0.25"/>
  <cols>
    <col min="1" max="1" width="26" customWidth="1"/>
    <col min="2" max="2" width="34" customWidth="1"/>
    <col min="3" max="3" width="16" customWidth="1"/>
    <col min="4" max="4" width="60" customWidth="1"/>
    <col min="5" max="6" width="16" customWidth="1"/>
  </cols>
  <sheetData>
    <row r="1" spans="1:6" ht="26.4" x14ac:dyDescent="0.25">
      <c r="A1" s="6" t="s">
        <v>103</v>
      </c>
      <c r="B1" s="6" t="s">
        <v>104</v>
      </c>
      <c r="C1" s="6" t="s">
        <v>105</v>
      </c>
      <c r="D1" s="6" t="s">
        <v>106</v>
      </c>
      <c r="E1" s="6" t="s">
        <v>107</v>
      </c>
      <c r="F1" s="6" t="s">
        <v>108</v>
      </c>
    </row>
    <row r="2" spans="1:6" x14ac:dyDescent="0.25">
      <c r="A2" t="s">
        <v>109</v>
      </c>
      <c r="B2" t="s">
        <v>62</v>
      </c>
      <c r="C2" t="s">
        <v>110</v>
      </c>
      <c r="D2" t="s">
        <v>72</v>
      </c>
      <c r="E2">
        <v>20</v>
      </c>
      <c r="F2">
        <v>20</v>
      </c>
    </row>
    <row r="3" spans="1:6" x14ac:dyDescent="0.25">
      <c r="A3" t="s">
        <v>109</v>
      </c>
      <c r="B3" t="s">
        <v>63</v>
      </c>
      <c r="C3" t="s">
        <v>110</v>
      </c>
      <c r="D3" t="s">
        <v>73</v>
      </c>
      <c r="E3">
        <v>20</v>
      </c>
      <c r="F3">
        <v>5</v>
      </c>
    </row>
    <row r="4" spans="1:6" x14ac:dyDescent="0.25">
      <c r="A4" t="s">
        <v>109</v>
      </c>
      <c r="B4" t="s">
        <v>64</v>
      </c>
      <c r="C4" t="s">
        <v>111</v>
      </c>
      <c r="D4" t="s">
        <v>112</v>
      </c>
      <c r="E4">
        <v>20</v>
      </c>
      <c r="F4">
        <v>20</v>
      </c>
    </row>
    <row r="5" spans="1:6" x14ac:dyDescent="0.25">
      <c r="A5" t="s">
        <v>109</v>
      </c>
      <c r="B5" t="s">
        <v>65</v>
      </c>
      <c r="C5" t="s">
        <v>110</v>
      </c>
      <c r="D5" t="s">
        <v>74</v>
      </c>
      <c r="E5">
        <v>20</v>
      </c>
      <c r="F5">
        <v>6</v>
      </c>
    </row>
    <row r="6" spans="1:6" x14ac:dyDescent="0.25">
      <c r="A6" t="s">
        <v>109</v>
      </c>
      <c r="B6" t="s">
        <v>66</v>
      </c>
      <c r="C6" t="s">
        <v>113</v>
      </c>
      <c r="D6" t="s">
        <v>114</v>
      </c>
      <c r="E6">
        <v>20</v>
      </c>
      <c r="F6">
        <v>20</v>
      </c>
    </row>
    <row r="7" spans="1:6" x14ac:dyDescent="0.25">
      <c r="A7" t="s">
        <v>109</v>
      </c>
      <c r="B7" t="s">
        <v>67</v>
      </c>
      <c r="C7" t="s">
        <v>113</v>
      </c>
      <c r="D7" t="s">
        <v>115</v>
      </c>
      <c r="E7">
        <v>20</v>
      </c>
      <c r="F7">
        <v>20</v>
      </c>
    </row>
    <row r="8" spans="1:6" x14ac:dyDescent="0.25">
      <c r="A8" t="s">
        <v>109</v>
      </c>
      <c r="B8" t="s">
        <v>68</v>
      </c>
      <c r="C8" t="s">
        <v>113</v>
      </c>
      <c r="D8" t="s">
        <v>116</v>
      </c>
      <c r="E8">
        <v>20</v>
      </c>
      <c r="F8">
        <v>20</v>
      </c>
    </row>
    <row r="9" spans="1:6" x14ac:dyDescent="0.25">
      <c r="A9" t="s">
        <v>109</v>
      </c>
      <c r="B9" t="s">
        <v>69</v>
      </c>
      <c r="C9" t="s">
        <v>113</v>
      </c>
      <c r="D9" t="s">
        <v>114</v>
      </c>
      <c r="E9">
        <v>20</v>
      </c>
      <c r="F9">
        <v>20</v>
      </c>
    </row>
    <row r="10" spans="1:6" x14ac:dyDescent="0.25">
      <c r="A10" t="s">
        <v>109</v>
      </c>
      <c r="B10" t="s">
        <v>70</v>
      </c>
      <c r="C10" t="s">
        <v>113</v>
      </c>
      <c r="D10" t="s">
        <v>117</v>
      </c>
      <c r="E10">
        <v>20</v>
      </c>
      <c r="F10">
        <v>20</v>
      </c>
    </row>
    <row r="11" spans="1:6" x14ac:dyDescent="0.25">
      <c r="A11" t="s">
        <v>109</v>
      </c>
      <c r="B11" t="s">
        <v>71</v>
      </c>
      <c r="C11" t="s">
        <v>113</v>
      </c>
      <c r="D11" t="s">
        <v>118</v>
      </c>
      <c r="E11">
        <v>20</v>
      </c>
      <c r="F11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tabSelected="1" topLeftCell="E1" zoomScaleNormal="100" workbookViewId="0">
      <pane ySplit="3" topLeftCell="A13" activePane="bottomLeft" state="frozen"/>
      <selection pane="bottomLeft" activeCell="I6" sqref="I6"/>
    </sheetView>
  </sheetViews>
  <sheetFormatPr defaultColWidth="8.6640625" defaultRowHeight="13.2" x14ac:dyDescent="0.25"/>
  <cols>
    <col min="1" max="1" width="5" customWidth="1"/>
    <col min="2" max="2" width="12" customWidth="1"/>
    <col min="3" max="3" width="16" customWidth="1"/>
    <col min="4" max="5" width="18" customWidth="1"/>
    <col min="6" max="6" width="50" customWidth="1"/>
    <col min="7" max="8" width="36" customWidth="1"/>
    <col min="9" max="9" width="12" customWidth="1"/>
    <col min="10" max="10" width="22" customWidth="1"/>
  </cols>
  <sheetData>
    <row r="1" spans="1:10" x14ac:dyDescent="0.25">
      <c r="A1" s="8" t="s">
        <v>119</v>
      </c>
    </row>
    <row r="2" spans="1:10" x14ac:dyDescent="0.25">
      <c r="A2" s="10" t="s">
        <v>120</v>
      </c>
    </row>
    <row r="3" spans="1:10" ht="26.4" x14ac:dyDescent="0.25">
      <c r="A3" s="6" t="s">
        <v>121</v>
      </c>
      <c r="B3" s="6" t="s">
        <v>122</v>
      </c>
      <c r="C3" s="6" t="s">
        <v>123</v>
      </c>
      <c r="D3" s="6" t="s">
        <v>124</v>
      </c>
      <c r="E3" s="6" t="s">
        <v>125</v>
      </c>
      <c r="F3" s="6" t="s">
        <v>126</v>
      </c>
      <c r="G3" s="6" t="s">
        <v>127</v>
      </c>
      <c r="H3" s="6" t="s">
        <v>128</v>
      </c>
      <c r="I3" s="6" t="s">
        <v>129</v>
      </c>
      <c r="J3" s="6" t="s">
        <v>130</v>
      </c>
    </row>
    <row r="4" spans="1:10" ht="57.6" x14ac:dyDescent="0.25">
      <c r="A4" s="11">
        <v>1</v>
      </c>
      <c r="B4" s="12">
        <v>46293</v>
      </c>
      <c r="C4" s="12" t="s">
        <v>136</v>
      </c>
      <c r="D4" s="12"/>
      <c r="E4" s="12"/>
      <c r="F4" s="12" t="s">
        <v>137</v>
      </c>
      <c r="G4" s="12" t="s">
        <v>138</v>
      </c>
      <c r="H4" s="12" t="s">
        <v>139</v>
      </c>
      <c r="I4" s="12" t="s">
        <v>207</v>
      </c>
      <c r="J4" s="16" t="s">
        <v>140</v>
      </c>
    </row>
    <row r="5" spans="1:10" ht="43.2" x14ac:dyDescent="0.25">
      <c r="A5" s="7">
        <v>2</v>
      </c>
      <c r="B5" s="12">
        <v>46293</v>
      </c>
      <c r="C5" s="13" t="s">
        <v>136</v>
      </c>
      <c r="D5" s="13"/>
      <c r="E5" s="13"/>
      <c r="F5" s="13" t="s">
        <v>141</v>
      </c>
      <c r="G5" s="13" t="s">
        <v>142</v>
      </c>
      <c r="H5" s="13" t="s">
        <v>143</v>
      </c>
      <c r="I5" s="13" t="s">
        <v>207</v>
      </c>
      <c r="J5" s="16" t="s">
        <v>140</v>
      </c>
    </row>
    <row r="6" spans="1:10" ht="39.6" x14ac:dyDescent="0.25">
      <c r="A6" s="7">
        <v>3</v>
      </c>
      <c r="B6" s="12">
        <v>46293</v>
      </c>
      <c r="C6" s="13" t="s">
        <v>136</v>
      </c>
      <c r="D6" s="13"/>
      <c r="E6" s="13"/>
      <c r="F6" s="13" t="s">
        <v>144</v>
      </c>
      <c r="G6" s="13" t="s">
        <v>145</v>
      </c>
      <c r="H6" s="13" t="s">
        <v>146</v>
      </c>
      <c r="I6" s="13" t="s">
        <v>135</v>
      </c>
      <c r="J6" s="16" t="s">
        <v>140</v>
      </c>
    </row>
    <row r="7" spans="1:10" ht="43.2" x14ac:dyDescent="0.25">
      <c r="A7" s="7">
        <v>4</v>
      </c>
      <c r="B7" s="12">
        <v>46293</v>
      </c>
      <c r="C7" s="13" t="s">
        <v>136</v>
      </c>
      <c r="D7" s="13"/>
      <c r="E7" s="13"/>
      <c r="F7" s="13" t="s">
        <v>147</v>
      </c>
      <c r="G7" s="13" t="s">
        <v>148</v>
      </c>
      <c r="H7" s="13" t="s">
        <v>149</v>
      </c>
      <c r="I7" s="13" t="s">
        <v>135</v>
      </c>
      <c r="J7" s="16" t="s">
        <v>140</v>
      </c>
    </row>
    <row r="8" spans="1:10" ht="57.6" x14ac:dyDescent="0.25">
      <c r="A8" s="7">
        <v>5</v>
      </c>
      <c r="B8" s="12">
        <v>46293</v>
      </c>
      <c r="C8" s="13" t="s">
        <v>136</v>
      </c>
      <c r="D8" s="13"/>
      <c r="E8" s="13"/>
      <c r="F8" s="13" t="s">
        <v>150</v>
      </c>
      <c r="G8" s="13" t="s">
        <v>151</v>
      </c>
      <c r="H8" s="13" t="s">
        <v>152</v>
      </c>
      <c r="I8" s="13" t="s">
        <v>135</v>
      </c>
      <c r="J8" s="16" t="s">
        <v>140</v>
      </c>
    </row>
    <row r="9" spans="1:10" ht="43.2" x14ac:dyDescent="0.25">
      <c r="A9" s="7">
        <v>6</v>
      </c>
      <c r="B9" s="12">
        <v>46293</v>
      </c>
      <c r="C9" s="13" t="s">
        <v>136</v>
      </c>
      <c r="D9" s="13"/>
      <c r="E9" s="13"/>
      <c r="F9" s="13" t="s">
        <v>153</v>
      </c>
      <c r="G9" s="13" t="s">
        <v>154</v>
      </c>
      <c r="H9" s="13" t="s">
        <v>155</v>
      </c>
      <c r="I9" s="13" t="s">
        <v>135</v>
      </c>
      <c r="J9" s="16" t="s">
        <v>140</v>
      </c>
    </row>
    <row r="10" spans="1:10" ht="43.2" x14ac:dyDescent="0.25">
      <c r="A10" s="7">
        <v>7</v>
      </c>
      <c r="B10" s="12">
        <v>46293</v>
      </c>
      <c r="C10" s="13" t="s">
        <v>136</v>
      </c>
      <c r="D10" s="13"/>
      <c r="E10" s="13"/>
      <c r="F10" s="13" t="s">
        <v>156</v>
      </c>
      <c r="G10" s="13" t="s">
        <v>157</v>
      </c>
      <c r="H10" s="13" t="s">
        <v>158</v>
      </c>
      <c r="I10" s="13" t="s">
        <v>135</v>
      </c>
      <c r="J10" s="16" t="s">
        <v>140</v>
      </c>
    </row>
    <row r="11" spans="1:10" ht="57.6" x14ac:dyDescent="0.25">
      <c r="A11" s="7">
        <v>8</v>
      </c>
      <c r="B11" s="12">
        <v>46297</v>
      </c>
      <c r="C11" s="13" t="s">
        <v>136</v>
      </c>
      <c r="D11" s="13"/>
      <c r="E11" s="13"/>
      <c r="F11" s="13" t="s">
        <v>159</v>
      </c>
      <c r="G11" s="13" t="s">
        <v>160</v>
      </c>
      <c r="H11" s="13" t="s">
        <v>161</v>
      </c>
      <c r="I11" s="13" t="s">
        <v>135</v>
      </c>
      <c r="J11" s="16" t="s">
        <v>140</v>
      </c>
    </row>
    <row r="12" spans="1:10" ht="72" x14ac:dyDescent="0.25">
      <c r="A12" s="7">
        <v>9</v>
      </c>
      <c r="B12" s="12">
        <v>46297</v>
      </c>
      <c r="C12" s="13" t="s">
        <v>136</v>
      </c>
      <c r="D12" s="13"/>
      <c r="E12" s="13"/>
      <c r="F12" s="13" t="s">
        <v>162</v>
      </c>
      <c r="G12" s="13" t="s">
        <v>163</v>
      </c>
      <c r="H12" s="13" t="s">
        <v>164</v>
      </c>
      <c r="I12" s="13" t="s">
        <v>207</v>
      </c>
      <c r="J12" s="16" t="s">
        <v>140</v>
      </c>
    </row>
    <row r="13" spans="1:10" ht="72" x14ac:dyDescent="0.25">
      <c r="A13" s="7">
        <v>10</v>
      </c>
      <c r="B13" s="12">
        <v>46297</v>
      </c>
      <c r="C13" s="13" t="s">
        <v>136</v>
      </c>
      <c r="D13" s="13"/>
      <c r="E13" s="13"/>
      <c r="F13" s="13" t="s">
        <v>165</v>
      </c>
      <c r="G13" s="13" t="s">
        <v>166</v>
      </c>
      <c r="H13" s="13" t="s">
        <v>167</v>
      </c>
      <c r="I13" s="13" t="s">
        <v>207</v>
      </c>
      <c r="J13" s="16" t="s">
        <v>140</v>
      </c>
    </row>
    <row r="14" spans="1:10" ht="72" x14ac:dyDescent="0.25">
      <c r="A14" s="7">
        <v>11</v>
      </c>
      <c r="B14" s="12">
        <v>46297</v>
      </c>
      <c r="C14" s="13" t="s">
        <v>136</v>
      </c>
      <c r="D14" s="13"/>
      <c r="E14" s="13"/>
      <c r="F14" s="13" t="s">
        <v>190</v>
      </c>
      <c r="G14" s="13" t="s">
        <v>191</v>
      </c>
      <c r="H14" s="13" t="s">
        <v>192</v>
      </c>
      <c r="I14" s="13" t="s">
        <v>135</v>
      </c>
      <c r="J14" s="16" t="s">
        <v>193</v>
      </c>
    </row>
    <row r="15" spans="1:10" ht="14.4" x14ac:dyDescent="0.25">
      <c r="A15" s="7">
        <v>12</v>
      </c>
      <c r="B15" s="12"/>
      <c r="C15" s="13"/>
      <c r="D15" s="13"/>
      <c r="E15" s="13"/>
      <c r="F15" s="13"/>
      <c r="G15" s="13"/>
      <c r="H15" s="13"/>
      <c r="I15" s="13"/>
      <c r="J15" s="13"/>
    </row>
    <row r="16" spans="1:10" ht="14.4" x14ac:dyDescent="0.25">
      <c r="A16" s="7">
        <v>13</v>
      </c>
      <c r="B16" s="12"/>
      <c r="C16" s="13"/>
      <c r="D16" s="13"/>
      <c r="E16" s="13"/>
      <c r="F16" s="13"/>
      <c r="G16" s="13"/>
      <c r="H16" s="13"/>
      <c r="I16" s="13"/>
      <c r="J16" s="13"/>
    </row>
    <row r="17" spans="1:10" ht="14.4" x14ac:dyDescent="0.25">
      <c r="A17" s="7">
        <v>14</v>
      </c>
      <c r="B17" s="12"/>
      <c r="C17" s="13"/>
      <c r="D17" s="13"/>
      <c r="E17" s="13"/>
      <c r="F17" s="13"/>
      <c r="G17" s="13"/>
      <c r="H17" s="13"/>
      <c r="I17" s="13"/>
      <c r="J17" s="13"/>
    </row>
    <row r="18" spans="1:10" ht="14.4" x14ac:dyDescent="0.25">
      <c r="A18" s="7">
        <v>15</v>
      </c>
      <c r="B18" s="12"/>
      <c r="C18" s="13"/>
      <c r="D18" s="13"/>
      <c r="E18" s="13"/>
      <c r="F18" s="13"/>
      <c r="G18" s="13"/>
      <c r="H18" s="13"/>
      <c r="I18" s="13"/>
      <c r="J18" s="13"/>
    </row>
    <row r="19" spans="1:10" ht="14.4" x14ac:dyDescent="0.25">
      <c r="A19" s="7">
        <v>16</v>
      </c>
      <c r="B19" s="12"/>
      <c r="C19" s="13"/>
      <c r="D19" s="13"/>
      <c r="E19" s="13"/>
      <c r="F19" s="13"/>
      <c r="G19" s="13"/>
      <c r="H19" s="13"/>
      <c r="I19" s="13"/>
      <c r="J19" s="13"/>
    </row>
    <row r="20" spans="1:10" ht="14.4" x14ac:dyDescent="0.25">
      <c r="A20" s="7">
        <v>17</v>
      </c>
      <c r="B20" s="12"/>
      <c r="C20" s="13"/>
      <c r="D20" s="13"/>
      <c r="E20" s="13"/>
      <c r="F20" s="13"/>
      <c r="G20" s="13"/>
      <c r="H20" s="13"/>
      <c r="I20" s="13"/>
      <c r="J20" s="13"/>
    </row>
    <row r="21" spans="1:10" ht="14.4" x14ac:dyDescent="0.25">
      <c r="A21" s="7">
        <v>18</v>
      </c>
      <c r="B21" s="12"/>
      <c r="C21" s="13"/>
      <c r="D21" s="13"/>
      <c r="E21" s="13"/>
      <c r="F21" s="13"/>
      <c r="G21" s="13"/>
      <c r="H21" s="13"/>
      <c r="I21" s="13"/>
      <c r="J21" s="13"/>
    </row>
    <row r="22" spans="1:10" ht="14.4" x14ac:dyDescent="0.25">
      <c r="A22" s="7">
        <v>19</v>
      </c>
      <c r="B22" s="12"/>
      <c r="C22" s="13"/>
      <c r="D22" s="13"/>
      <c r="E22" s="13"/>
      <c r="F22" s="13"/>
      <c r="G22" s="13"/>
      <c r="H22" s="13"/>
      <c r="I22" s="13"/>
      <c r="J22" s="13"/>
    </row>
    <row r="23" spans="1:10" ht="14.4" x14ac:dyDescent="0.25">
      <c r="A23" s="7">
        <v>20</v>
      </c>
      <c r="B23" s="12"/>
      <c r="C23" s="13"/>
      <c r="D23" s="13"/>
      <c r="E23" s="13"/>
      <c r="F23" s="13"/>
      <c r="G23" s="13"/>
      <c r="H23" s="13"/>
      <c r="I23" s="13"/>
      <c r="J23" s="13"/>
    </row>
    <row r="24" spans="1:10" ht="14.4" x14ac:dyDescent="0.25">
      <c r="A24" s="7">
        <v>21</v>
      </c>
      <c r="B24" s="12"/>
      <c r="C24" s="13"/>
      <c r="D24" s="13"/>
      <c r="E24" s="13"/>
      <c r="F24" s="13"/>
      <c r="G24" s="13"/>
      <c r="H24" s="13"/>
      <c r="I24" s="13"/>
      <c r="J24" s="13"/>
    </row>
    <row r="25" spans="1:10" ht="14.4" x14ac:dyDescent="0.25">
      <c r="A25" s="7">
        <v>22</v>
      </c>
      <c r="B25" s="12"/>
      <c r="C25" s="13"/>
      <c r="D25" s="13"/>
      <c r="E25" s="13"/>
      <c r="F25" s="13"/>
      <c r="G25" s="13"/>
      <c r="H25" s="13"/>
      <c r="I25" s="13"/>
      <c r="J25" s="13"/>
    </row>
    <row r="26" spans="1:10" ht="14.4" x14ac:dyDescent="0.25">
      <c r="A26" s="7">
        <v>23</v>
      </c>
      <c r="B26" s="12"/>
      <c r="C26" s="13"/>
      <c r="D26" s="13"/>
      <c r="E26" s="13"/>
      <c r="F26" s="13"/>
      <c r="G26" s="13"/>
      <c r="H26" s="13"/>
      <c r="I26" s="13"/>
      <c r="J26" s="13"/>
    </row>
    <row r="27" spans="1:10" ht="14.4" x14ac:dyDescent="0.25">
      <c r="A27" s="7">
        <v>24</v>
      </c>
      <c r="B27" s="12"/>
      <c r="C27" s="13"/>
      <c r="D27" s="13"/>
      <c r="E27" s="13"/>
      <c r="F27" s="13"/>
      <c r="G27" s="13"/>
      <c r="H27" s="13"/>
      <c r="I27" s="13"/>
      <c r="J27" s="13"/>
    </row>
    <row r="28" spans="1:10" ht="14.4" x14ac:dyDescent="0.25">
      <c r="A28" s="7">
        <v>25</v>
      </c>
      <c r="B28" s="12"/>
      <c r="C28" s="13"/>
      <c r="D28" s="13"/>
      <c r="E28" s="13"/>
      <c r="F28" s="13"/>
      <c r="G28" s="13"/>
      <c r="H28" s="13"/>
      <c r="I28" s="13"/>
      <c r="J28" s="13"/>
    </row>
    <row r="29" spans="1:10" ht="14.4" x14ac:dyDescent="0.25">
      <c r="A29" s="7">
        <v>26</v>
      </c>
      <c r="B29" s="12"/>
      <c r="C29" s="13"/>
      <c r="D29" s="13"/>
      <c r="E29" s="13"/>
      <c r="F29" s="13"/>
      <c r="G29" s="13"/>
      <c r="H29" s="13"/>
      <c r="I29" s="13"/>
      <c r="J29" s="13"/>
    </row>
  </sheetData>
  <dataValidations count="1">
    <dataValidation type="list" allowBlank="1" sqref="I5:I29" xr:uid="{00000000-0002-0000-0300-000000000000}">
      <formula1>"Kept,Rejected,Partly kept"</formula1>
      <formula2>0</formula2>
    </dataValidation>
  </dataValidations>
  <hyperlinks>
    <hyperlink ref="J4" r:id="rId1" xr:uid="{F50716E6-F93B-44AB-B2F4-249C48C443E0}"/>
    <hyperlink ref="J5" r:id="rId2" xr:uid="{CD57305A-AA69-4D7E-9156-FDAB54BC243B}"/>
    <hyperlink ref="J6" r:id="rId3" xr:uid="{41754F20-3BE4-4E17-8698-F63868EA662E}"/>
    <hyperlink ref="J7" r:id="rId4" xr:uid="{8C5186F1-C95D-43AE-8EFC-B5D02E77C680}"/>
    <hyperlink ref="J8" r:id="rId5" xr:uid="{D6AA3BA0-4265-4C7E-865E-5EB728A4FCB1}"/>
    <hyperlink ref="J9" r:id="rId6" xr:uid="{71A9F7C3-DAC4-4374-A9F0-E0FDCEB2CE73}"/>
    <hyperlink ref="J10" r:id="rId7" xr:uid="{8CF9CFCE-8C0E-4B79-B56A-9EE931824D32}"/>
    <hyperlink ref="J11" r:id="rId8" xr:uid="{1810AE10-08DF-46E2-AB59-4F49C1EB9E21}"/>
    <hyperlink ref="J12" r:id="rId9" xr:uid="{AA467888-088D-4965-8D45-DB8CE673D890}"/>
    <hyperlink ref="J13" r:id="rId10" xr:uid="{88B20837-6660-413F-BEEC-D6DD974E74B1}"/>
    <hyperlink ref="J14" r:id="rId11" xr:uid="{85157803-2AE8-450A-B29A-F0EB1EACF318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095B-26D5-49B9-935B-2C588F05BBFE}">
  <dimension ref="A1:N28"/>
  <sheetViews>
    <sheetView topLeftCell="A3" zoomScale="104" workbookViewId="0">
      <selection activeCell="G27" sqref="G27"/>
    </sheetView>
  </sheetViews>
  <sheetFormatPr defaultRowHeight="13.2" x14ac:dyDescent="0.25"/>
  <cols>
    <col min="1" max="1" width="13.44140625" customWidth="1"/>
    <col min="2" max="2" width="14.33203125" customWidth="1"/>
    <col min="3" max="4" width="11.88671875" customWidth="1"/>
    <col min="5" max="5" width="11.109375" customWidth="1"/>
    <col min="6" max="6" width="11.21875" customWidth="1"/>
    <col min="7" max="7" width="18.77734375" customWidth="1"/>
    <col min="8" max="8" width="10.21875" customWidth="1"/>
    <col min="9" max="9" width="11.33203125" customWidth="1"/>
    <col min="10" max="10" width="10.33203125" customWidth="1"/>
    <col min="11" max="11" width="12.88671875" customWidth="1"/>
    <col min="12" max="12" width="9.77734375" customWidth="1"/>
  </cols>
  <sheetData>
    <row r="1" spans="1:14" x14ac:dyDescent="0.25">
      <c r="A1" t="s">
        <v>62</v>
      </c>
      <c r="B1" t="s">
        <v>63</v>
      </c>
      <c r="C1" t="s">
        <v>66</v>
      </c>
      <c r="D1" t="s">
        <v>69</v>
      </c>
      <c r="E1" t="s">
        <v>131</v>
      </c>
      <c r="F1" t="s">
        <v>133</v>
      </c>
      <c r="G1" t="s">
        <v>168</v>
      </c>
      <c r="H1" t="s">
        <v>169</v>
      </c>
      <c r="I1" t="s">
        <v>170</v>
      </c>
      <c r="J1" t="s">
        <v>132</v>
      </c>
      <c r="K1" t="s">
        <v>134</v>
      </c>
      <c r="L1" t="s">
        <v>171</v>
      </c>
      <c r="M1" t="s">
        <v>172</v>
      </c>
      <c r="N1" t="s">
        <v>173</v>
      </c>
    </row>
    <row r="2" spans="1:14" x14ac:dyDescent="0.25">
      <c r="A2" t="s">
        <v>72</v>
      </c>
      <c r="B2" t="s">
        <v>73</v>
      </c>
      <c r="C2">
        <v>26132</v>
      </c>
      <c r="D2">
        <v>26132</v>
      </c>
      <c r="E2" s="17">
        <v>0.19589999999999999</v>
      </c>
      <c r="F2" s="17">
        <v>0.23139999999999999</v>
      </c>
      <c r="G2">
        <v>-9.9139999999999997</v>
      </c>
      <c r="H2" t="s">
        <v>174</v>
      </c>
      <c r="I2" t="s">
        <v>175</v>
      </c>
      <c r="J2" s="17">
        <v>2.5499999999999998E-2</v>
      </c>
      <c r="K2" s="17">
        <v>3.0599999999999999E-2</v>
      </c>
      <c r="L2">
        <v>-3.5219999999999998</v>
      </c>
      <c r="M2">
        <v>4.0000000000000002E-4</v>
      </c>
      <c r="N2" t="s">
        <v>175</v>
      </c>
    </row>
    <row r="3" spans="1:14" x14ac:dyDescent="0.25">
      <c r="A3" t="s">
        <v>75</v>
      </c>
      <c r="B3" t="s">
        <v>76</v>
      </c>
      <c r="C3">
        <v>20400</v>
      </c>
      <c r="D3">
        <v>20400</v>
      </c>
      <c r="E3" s="17">
        <v>0.25569999999999998</v>
      </c>
      <c r="F3" s="17">
        <v>0.31219999999999998</v>
      </c>
      <c r="G3">
        <v>-12.637</v>
      </c>
      <c r="H3" t="s">
        <v>174</v>
      </c>
      <c r="I3" t="s">
        <v>175</v>
      </c>
      <c r="J3" s="17">
        <v>2.6200000000000001E-2</v>
      </c>
      <c r="K3" s="17">
        <v>3.1399999999999997E-2</v>
      </c>
      <c r="L3">
        <v>-3.1669999999999998</v>
      </c>
      <c r="M3">
        <v>1.5E-3</v>
      </c>
      <c r="N3" t="s">
        <v>175</v>
      </c>
    </row>
    <row r="4" spans="1:14" x14ac:dyDescent="0.25">
      <c r="A4" t="s">
        <v>78</v>
      </c>
      <c r="B4" t="s">
        <v>79</v>
      </c>
      <c r="C4">
        <v>20465</v>
      </c>
      <c r="D4">
        <v>20465</v>
      </c>
      <c r="E4" s="17">
        <v>0.23369999999999999</v>
      </c>
      <c r="F4" s="17">
        <v>0.2465</v>
      </c>
      <c r="G4">
        <v>-3.02</v>
      </c>
      <c r="H4">
        <v>2.5000000000000001E-3</v>
      </c>
      <c r="I4" t="s">
        <v>175</v>
      </c>
      <c r="J4" s="17">
        <v>2.0899999999999998E-2</v>
      </c>
      <c r="K4" s="17">
        <v>2.2700000000000001E-2</v>
      </c>
      <c r="L4">
        <v>-1.252</v>
      </c>
      <c r="M4">
        <v>0.21060000000000001</v>
      </c>
      <c r="N4" t="s">
        <v>176</v>
      </c>
    </row>
    <row r="5" spans="1:14" x14ac:dyDescent="0.25">
      <c r="A5" t="s">
        <v>80</v>
      </c>
      <c r="B5" t="s">
        <v>79</v>
      </c>
      <c r="C5">
        <v>29791</v>
      </c>
      <c r="D5">
        <v>29791</v>
      </c>
      <c r="E5" s="17">
        <v>0.22789999999999999</v>
      </c>
      <c r="F5" s="17">
        <v>0.248</v>
      </c>
      <c r="G5">
        <v>-5.7629999999999999</v>
      </c>
      <c r="H5" t="s">
        <v>174</v>
      </c>
      <c r="I5" t="s">
        <v>175</v>
      </c>
      <c r="J5" s="17">
        <v>5.2900000000000003E-2</v>
      </c>
      <c r="K5" s="17">
        <v>4.36E-2</v>
      </c>
      <c r="L5">
        <v>5.2750000000000004</v>
      </c>
      <c r="M5" t="s">
        <v>174</v>
      </c>
      <c r="N5" t="s">
        <v>177</v>
      </c>
    </row>
    <row r="6" spans="1:14" x14ac:dyDescent="0.25">
      <c r="A6" t="s">
        <v>82</v>
      </c>
      <c r="B6" t="s">
        <v>73</v>
      </c>
      <c r="C6">
        <v>8072</v>
      </c>
      <c r="D6">
        <v>8072</v>
      </c>
      <c r="E6" s="17">
        <v>0.16719999999999999</v>
      </c>
      <c r="F6" s="17">
        <v>0.16789999999999999</v>
      </c>
      <c r="G6">
        <v>-0.105</v>
      </c>
      <c r="H6">
        <v>0.91610000000000003</v>
      </c>
      <c r="I6" t="s">
        <v>176</v>
      </c>
      <c r="J6" s="17">
        <v>2.1299999999999999E-2</v>
      </c>
      <c r="K6" s="17">
        <v>2.6599999999999999E-2</v>
      </c>
      <c r="L6">
        <v>-2.2120000000000002</v>
      </c>
      <c r="M6">
        <v>2.69E-2</v>
      </c>
      <c r="N6" t="s">
        <v>175</v>
      </c>
    </row>
    <row r="7" spans="1:14" x14ac:dyDescent="0.25">
      <c r="A7" t="s">
        <v>84</v>
      </c>
      <c r="B7" t="s">
        <v>79</v>
      </c>
      <c r="C7">
        <v>7875</v>
      </c>
      <c r="D7">
        <v>7875</v>
      </c>
      <c r="E7" s="17">
        <v>0.2243</v>
      </c>
      <c r="F7" s="17">
        <v>0.23369999999999999</v>
      </c>
      <c r="G7">
        <v>-1.403</v>
      </c>
      <c r="H7">
        <v>0.1605</v>
      </c>
      <c r="I7" t="s">
        <v>176</v>
      </c>
      <c r="J7" s="17">
        <v>2.4799999999999999E-2</v>
      </c>
      <c r="K7" s="17">
        <v>3.0099999999999998E-2</v>
      </c>
      <c r="L7">
        <v>-2.0489999999999999</v>
      </c>
      <c r="M7">
        <v>4.0500000000000001E-2</v>
      </c>
      <c r="N7" t="s">
        <v>175</v>
      </c>
    </row>
    <row r="8" spans="1:14" x14ac:dyDescent="0.25">
      <c r="A8" t="s">
        <v>85</v>
      </c>
      <c r="B8" t="s">
        <v>73</v>
      </c>
      <c r="C8">
        <v>15348</v>
      </c>
      <c r="D8">
        <v>15348</v>
      </c>
      <c r="E8" s="17">
        <v>0.27979999999999999</v>
      </c>
      <c r="F8" s="17">
        <v>0.2727</v>
      </c>
      <c r="G8">
        <v>1.4039999999999999</v>
      </c>
      <c r="H8">
        <v>0.1603</v>
      </c>
      <c r="I8" t="s">
        <v>176</v>
      </c>
      <c r="J8" s="17">
        <v>5.8000000000000003E-2</v>
      </c>
      <c r="K8" s="17">
        <v>6.1899999999999997E-2</v>
      </c>
      <c r="L8">
        <v>-1.4430000000000001</v>
      </c>
      <c r="M8">
        <v>0.14910000000000001</v>
      </c>
      <c r="N8" t="s">
        <v>176</v>
      </c>
    </row>
    <row r="9" spans="1:14" x14ac:dyDescent="0.25">
      <c r="A9" t="s">
        <v>86</v>
      </c>
      <c r="B9" t="s">
        <v>76</v>
      </c>
      <c r="C9">
        <v>28932</v>
      </c>
      <c r="D9">
        <v>28932</v>
      </c>
      <c r="E9" s="17">
        <v>0.22</v>
      </c>
      <c r="F9" s="17">
        <v>0.23069999999999999</v>
      </c>
      <c r="G9">
        <v>-3.0939999999999999</v>
      </c>
      <c r="H9">
        <v>2E-3</v>
      </c>
      <c r="I9" t="s">
        <v>175</v>
      </c>
      <c r="J9" s="17">
        <v>2.3699999999999999E-2</v>
      </c>
      <c r="K9" s="17">
        <v>2.3300000000000001E-2</v>
      </c>
      <c r="L9">
        <v>0.38400000000000001</v>
      </c>
      <c r="M9">
        <v>0.70089999999999997</v>
      </c>
      <c r="N9" t="s">
        <v>176</v>
      </c>
    </row>
    <row r="10" spans="1:14" x14ac:dyDescent="0.25">
      <c r="A10" t="s">
        <v>87</v>
      </c>
      <c r="B10" t="s">
        <v>76</v>
      </c>
      <c r="C10">
        <v>8820</v>
      </c>
      <c r="D10">
        <v>8820</v>
      </c>
      <c r="E10" s="17">
        <v>0.23200000000000001</v>
      </c>
      <c r="F10" s="17">
        <v>0.21</v>
      </c>
      <c r="G10">
        <v>3.5209999999999999</v>
      </c>
      <c r="H10">
        <v>4.0000000000000002E-4</v>
      </c>
      <c r="I10" t="s">
        <v>177</v>
      </c>
      <c r="J10" s="17">
        <v>5.7599999999999998E-2</v>
      </c>
      <c r="K10" s="17">
        <v>4.7199999999999999E-2</v>
      </c>
      <c r="L10">
        <v>3.109</v>
      </c>
      <c r="M10">
        <v>1.9E-3</v>
      </c>
      <c r="N10" t="s">
        <v>177</v>
      </c>
    </row>
    <row r="11" spans="1:14" x14ac:dyDescent="0.25">
      <c r="A11" t="s">
        <v>89</v>
      </c>
      <c r="B11" t="s">
        <v>79</v>
      </c>
      <c r="C11">
        <v>5699</v>
      </c>
      <c r="D11">
        <v>5699</v>
      </c>
      <c r="E11" s="17">
        <v>0.26619999999999999</v>
      </c>
      <c r="F11" s="17">
        <v>0.313</v>
      </c>
      <c r="G11">
        <v>-5.5140000000000002</v>
      </c>
      <c r="H11" t="s">
        <v>174</v>
      </c>
      <c r="I11" t="s">
        <v>175</v>
      </c>
      <c r="J11" s="17">
        <v>4.5600000000000002E-2</v>
      </c>
      <c r="K11" s="17">
        <v>3.7900000000000003E-2</v>
      </c>
      <c r="L11">
        <v>2.06</v>
      </c>
      <c r="M11">
        <v>3.9399999999999998E-2</v>
      </c>
      <c r="N11" t="s">
        <v>177</v>
      </c>
    </row>
    <row r="12" spans="1:14" x14ac:dyDescent="0.25">
      <c r="A12" t="s">
        <v>90</v>
      </c>
      <c r="B12" t="s">
        <v>76</v>
      </c>
      <c r="C12">
        <v>20166</v>
      </c>
      <c r="D12">
        <v>20166</v>
      </c>
      <c r="E12" s="17">
        <v>0.1817</v>
      </c>
      <c r="F12" s="17">
        <v>0.19059999999999999</v>
      </c>
      <c r="G12">
        <v>-2.29</v>
      </c>
      <c r="H12">
        <v>2.1999999999999999E-2</v>
      </c>
      <c r="I12" t="s">
        <v>175</v>
      </c>
      <c r="J12" s="17">
        <v>2.41E-2</v>
      </c>
      <c r="K12" s="17">
        <v>3.04E-2</v>
      </c>
      <c r="L12">
        <v>-3.8809999999999998</v>
      </c>
      <c r="M12">
        <v>1E-4</v>
      </c>
      <c r="N12" t="s">
        <v>175</v>
      </c>
    </row>
    <row r="13" spans="1:14" x14ac:dyDescent="0.25">
      <c r="A13" t="s">
        <v>91</v>
      </c>
      <c r="B13" t="s">
        <v>92</v>
      </c>
      <c r="C13">
        <v>22807</v>
      </c>
      <c r="D13">
        <v>22807</v>
      </c>
      <c r="E13" s="17">
        <v>0.26290000000000002</v>
      </c>
      <c r="F13" s="17">
        <v>0.28999999999999998</v>
      </c>
      <c r="G13">
        <v>-6.47</v>
      </c>
      <c r="H13" t="s">
        <v>174</v>
      </c>
      <c r="I13" t="s">
        <v>175</v>
      </c>
      <c r="J13" s="17">
        <v>2.6700000000000002E-2</v>
      </c>
      <c r="K13" s="17">
        <v>2.7300000000000001E-2</v>
      </c>
      <c r="L13">
        <v>-0.40500000000000003</v>
      </c>
      <c r="M13">
        <v>0.68569999999999998</v>
      </c>
      <c r="N13" t="s">
        <v>176</v>
      </c>
    </row>
    <row r="14" spans="1:14" x14ac:dyDescent="0.25">
      <c r="A14" t="s">
        <v>93</v>
      </c>
      <c r="B14" t="s">
        <v>79</v>
      </c>
      <c r="C14">
        <v>16554</v>
      </c>
      <c r="D14">
        <v>16554</v>
      </c>
      <c r="E14" s="17">
        <v>0.21429999999999999</v>
      </c>
      <c r="F14" s="17">
        <v>0.22389999999999999</v>
      </c>
      <c r="G14">
        <v>-2.1259999999999999</v>
      </c>
      <c r="H14">
        <v>3.3500000000000002E-2</v>
      </c>
      <c r="I14" t="s">
        <v>175</v>
      </c>
      <c r="J14" s="17">
        <v>5.9299999999999999E-2</v>
      </c>
      <c r="K14" s="17">
        <v>5.6099999999999997E-2</v>
      </c>
      <c r="L14">
        <v>1.25</v>
      </c>
      <c r="M14">
        <v>0.2114</v>
      </c>
      <c r="N14" t="s">
        <v>176</v>
      </c>
    </row>
    <row r="15" spans="1:14" x14ac:dyDescent="0.25">
      <c r="A15" t="s">
        <v>94</v>
      </c>
      <c r="B15" t="s">
        <v>79</v>
      </c>
      <c r="C15">
        <v>21136</v>
      </c>
      <c r="D15">
        <v>21136</v>
      </c>
      <c r="E15" s="17">
        <v>0.29330000000000001</v>
      </c>
      <c r="F15" s="17">
        <v>0.26500000000000001</v>
      </c>
      <c r="G15">
        <v>6.4729999999999999</v>
      </c>
      <c r="H15" t="s">
        <v>174</v>
      </c>
      <c r="I15" t="s">
        <v>177</v>
      </c>
      <c r="J15" s="17">
        <v>2.3800000000000002E-2</v>
      </c>
      <c r="K15" s="17">
        <v>1.9699999999999999E-2</v>
      </c>
      <c r="L15">
        <v>2.8980000000000001</v>
      </c>
      <c r="M15">
        <v>3.7000000000000002E-3</v>
      </c>
      <c r="N15" t="s">
        <v>177</v>
      </c>
    </row>
    <row r="16" spans="1:14" x14ac:dyDescent="0.25">
      <c r="A16" t="s">
        <v>95</v>
      </c>
      <c r="B16" t="s">
        <v>96</v>
      </c>
      <c r="C16">
        <v>27311</v>
      </c>
      <c r="D16">
        <v>27311</v>
      </c>
      <c r="E16" s="17">
        <v>0.19550000000000001</v>
      </c>
      <c r="F16" s="17">
        <v>0.222</v>
      </c>
      <c r="G16">
        <v>-7.6429999999999998</v>
      </c>
      <c r="H16" t="s">
        <v>174</v>
      </c>
      <c r="I16" t="s">
        <v>175</v>
      </c>
      <c r="J16" s="17">
        <v>3.9800000000000002E-2</v>
      </c>
      <c r="K16" s="17">
        <v>4.3099999999999999E-2</v>
      </c>
      <c r="L16">
        <v>-1.9750000000000001</v>
      </c>
      <c r="M16">
        <v>4.8300000000000003E-2</v>
      </c>
      <c r="N16" t="s">
        <v>175</v>
      </c>
    </row>
    <row r="17" spans="1:14" x14ac:dyDescent="0.25">
      <c r="A17" t="s">
        <v>97</v>
      </c>
      <c r="B17" t="s">
        <v>92</v>
      </c>
      <c r="C17">
        <v>18004</v>
      </c>
      <c r="D17">
        <v>18004</v>
      </c>
      <c r="E17" s="17">
        <v>0.2316</v>
      </c>
      <c r="F17" s="17">
        <v>0.2893</v>
      </c>
      <c r="G17">
        <v>-12.476000000000001</v>
      </c>
      <c r="H17" t="s">
        <v>174</v>
      </c>
      <c r="I17" t="s">
        <v>175</v>
      </c>
      <c r="J17" s="17">
        <v>3.3599999999999998E-2</v>
      </c>
      <c r="K17" s="17">
        <v>4.0800000000000003E-2</v>
      </c>
      <c r="L17">
        <v>-3.6190000000000002</v>
      </c>
      <c r="M17">
        <v>2.9999999999999997E-4</v>
      </c>
      <c r="N17" t="s">
        <v>175</v>
      </c>
    </row>
    <row r="18" spans="1:14" x14ac:dyDescent="0.25">
      <c r="A18" t="s">
        <v>98</v>
      </c>
      <c r="B18" t="s">
        <v>96</v>
      </c>
      <c r="C18">
        <v>15401</v>
      </c>
      <c r="D18">
        <v>15401</v>
      </c>
      <c r="E18" s="17">
        <v>0.29339999999999999</v>
      </c>
      <c r="F18" s="17">
        <v>0.33510000000000001</v>
      </c>
      <c r="G18">
        <v>-7.8920000000000003</v>
      </c>
      <c r="H18" t="s">
        <v>174</v>
      </c>
      <c r="I18" t="s">
        <v>175</v>
      </c>
      <c r="J18" s="17">
        <v>3.1399999999999997E-2</v>
      </c>
      <c r="K18" s="17">
        <v>2.69E-2</v>
      </c>
      <c r="L18">
        <v>2.3029999999999999</v>
      </c>
      <c r="M18">
        <v>2.1299999999999999E-2</v>
      </c>
      <c r="N18" t="s">
        <v>177</v>
      </c>
    </row>
    <row r="19" spans="1:14" x14ac:dyDescent="0.25">
      <c r="A19" t="s">
        <v>99</v>
      </c>
      <c r="B19" t="s">
        <v>73</v>
      </c>
      <c r="C19">
        <v>11870</v>
      </c>
      <c r="D19">
        <v>11870</v>
      </c>
      <c r="E19" s="17">
        <v>0.16919999999999999</v>
      </c>
      <c r="F19" s="17">
        <v>0.14710000000000001</v>
      </c>
      <c r="G19">
        <v>4.66</v>
      </c>
      <c r="H19" t="s">
        <v>174</v>
      </c>
      <c r="I19" t="s">
        <v>177</v>
      </c>
      <c r="J19" s="17">
        <v>5.6399999999999999E-2</v>
      </c>
      <c r="K19" s="17">
        <v>5.33E-2</v>
      </c>
      <c r="L19">
        <v>1.054</v>
      </c>
      <c r="M19">
        <v>0.29170000000000001</v>
      </c>
      <c r="N19" t="s">
        <v>176</v>
      </c>
    </row>
    <row r="20" spans="1:14" x14ac:dyDescent="0.25">
      <c r="A20" t="s">
        <v>101</v>
      </c>
      <c r="B20" t="s">
        <v>73</v>
      </c>
      <c r="C20">
        <v>27384</v>
      </c>
      <c r="D20">
        <v>27384</v>
      </c>
      <c r="E20" s="17">
        <v>0.2409</v>
      </c>
      <c r="F20" s="17">
        <v>0.27089999999999997</v>
      </c>
      <c r="G20">
        <v>-8.0399999999999991</v>
      </c>
      <c r="H20" t="s">
        <v>174</v>
      </c>
      <c r="I20" t="s">
        <v>175</v>
      </c>
      <c r="J20" s="17">
        <v>2.87E-2</v>
      </c>
      <c r="K20" s="17">
        <v>3.5900000000000001E-2</v>
      </c>
      <c r="L20">
        <v>-4.7640000000000002</v>
      </c>
      <c r="M20" t="s">
        <v>174</v>
      </c>
      <c r="N20" t="s">
        <v>175</v>
      </c>
    </row>
    <row r="21" spans="1:14" x14ac:dyDescent="0.25">
      <c r="A21" t="s">
        <v>102</v>
      </c>
      <c r="B21" t="s">
        <v>92</v>
      </c>
      <c r="C21">
        <v>29874</v>
      </c>
      <c r="D21">
        <v>29874</v>
      </c>
      <c r="E21" s="17">
        <v>0.2833</v>
      </c>
      <c r="F21" s="17">
        <v>0.26740000000000003</v>
      </c>
      <c r="G21">
        <v>4.3689999999999998</v>
      </c>
      <c r="H21" t="s">
        <v>174</v>
      </c>
      <c r="I21" t="s">
        <v>177</v>
      </c>
      <c r="J21" s="17">
        <v>3.7400000000000003E-2</v>
      </c>
      <c r="K21" s="17">
        <v>3.0700000000000002E-2</v>
      </c>
      <c r="L21">
        <v>4.5140000000000002</v>
      </c>
      <c r="M21" t="s">
        <v>174</v>
      </c>
      <c r="N21" t="s">
        <v>177</v>
      </c>
    </row>
    <row r="23" spans="1:14" x14ac:dyDescent="0.25">
      <c r="A23" t="s">
        <v>63</v>
      </c>
      <c r="B23" t="s">
        <v>178</v>
      </c>
      <c r="C23" t="s">
        <v>131</v>
      </c>
      <c r="D23" t="s">
        <v>133</v>
      </c>
      <c r="E23" t="s">
        <v>169</v>
      </c>
      <c r="F23" t="s">
        <v>170</v>
      </c>
      <c r="G23" t="s">
        <v>179</v>
      </c>
      <c r="H23" t="s">
        <v>132</v>
      </c>
      <c r="I23" t="s">
        <v>134</v>
      </c>
      <c r="J23" t="s">
        <v>172</v>
      </c>
      <c r="K23" t="s">
        <v>173</v>
      </c>
      <c r="L23" t="s">
        <v>180</v>
      </c>
    </row>
    <row r="24" spans="1:14" x14ac:dyDescent="0.25">
      <c r="A24" t="s">
        <v>73</v>
      </c>
      <c r="B24">
        <v>5</v>
      </c>
      <c r="C24" s="17">
        <v>0.21809999999999999</v>
      </c>
      <c r="D24" s="17">
        <v>0.23369999999999999</v>
      </c>
      <c r="E24" t="s">
        <v>174</v>
      </c>
      <c r="F24" t="s">
        <v>175</v>
      </c>
      <c r="G24" t="s">
        <v>181</v>
      </c>
      <c r="H24" s="17">
        <v>3.5900000000000001E-2</v>
      </c>
      <c r="I24" s="17">
        <v>4.0300000000000002E-2</v>
      </c>
      <c r="J24" t="s">
        <v>174</v>
      </c>
      <c r="K24" t="s">
        <v>175</v>
      </c>
      <c r="L24" t="s">
        <v>182</v>
      </c>
    </row>
    <row r="25" spans="1:14" x14ac:dyDescent="0.25">
      <c r="A25" t="s">
        <v>76</v>
      </c>
      <c r="B25">
        <v>4</v>
      </c>
      <c r="C25" s="17">
        <v>0.2208</v>
      </c>
      <c r="D25" s="17">
        <v>0.23930000000000001</v>
      </c>
      <c r="E25" t="s">
        <v>174</v>
      </c>
      <c r="F25" t="s">
        <v>175</v>
      </c>
      <c r="G25" t="s">
        <v>183</v>
      </c>
      <c r="H25" s="17">
        <v>2.8299999999999999E-2</v>
      </c>
      <c r="I25" s="17">
        <v>2.9899999999999999E-2</v>
      </c>
      <c r="J25">
        <v>5.4399999999999997E-2</v>
      </c>
      <c r="K25" t="s">
        <v>176</v>
      </c>
      <c r="L25" t="s">
        <v>184</v>
      </c>
    </row>
    <row r="26" spans="1:14" x14ac:dyDescent="0.25">
      <c r="A26" t="s">
        <v>79</v>
      </c>
      <c r="B26">
        <v>6</v>
      </c>
      <c r="C26" s="17">
        <v>0.24229999999999999</v>
      </c>
      <c r="D26" s="17">
        <v>0.24990000000000001</v>
      </c>
      <c r="E26" t="s">
        <v>174</v>
      </c>
      <c r="F26" t="s">
        <v>175</v>
      </c>
      <c r="G26" t="s">
        <v>185</v>
      </c>
      <c r="H26" s="17">
        <v>3.8800000000000001E-2</v>
      </c>
      <c r="I26" s="17">
        <v>3.5099999999999999E-2</v>
      </c>
      <c r="J26" t="s">
        <v>174</v>
      </c>
      <c r="K26" t="s">
        <v>177</v>
      </c>
      <c r="L26" t="s">
        <v>186</v>
      </c>
    </row>
    <row r="27" spans="1:14" x14ac:dyDescent="0.25">
      <c r="A27" t="s">
        <v>92</v>
      </c>
      <c r="B27">
        <v>3</v>
      </c>
      <c r="C27" s="17">
        <v>0.26350000000000001</v>
      </c>
      <c r="D27" s="17">
        <v>0.2802</v>
      </c>
      <c r="E27" t="s">
        <v>174</v>
      </c>
      <c r="F27" t="s">
        <v>175</v>
      </c>
      <c r="G27" t="s">
        <v>187</v>
      </c>
      <c r="H27" s="17">
        <v>3.2899999999999999E-2</v>
      </c>
      <c r="I27" s="17">
        <v>3.2199999999999999E-2</v>
      </c>
      <c r="J27">
        <v>0.40129999999999999</v>
      </c>
      <c r="K27" t="s">
        <v>176</v>
      </c>
      <c r="L27" t="s">
        <v>187</v>
      </c>
    </row>
    <row r="28" spans="1:14" x14ac:dyDescent="0.25">
      <c r="A28" t="s">
        <v>96</v>
      </c>
      <c r="B28">
        <v>2</v>
      </c>
      <c r="C28" s="17">
        <v>0.23080000000000001</v>
      </c>
      <c r="D28" s="17">
        <v>0.26279999999999998</v>
      </c>
      <c r="E28" t="s">
        <v>174</v>
      </c>
      <c r="F28" t="s">
        <v>175</v>
      </c>
      <c r="G28" t="s">
        <v>188</v>
      </c>
      <c r="H28" s="17">
        <v>3.6700000000000003E-2</v>
      </c>
      <c r="I28" s="17">
        <v>3.73E-2</v>
      </c>
      <c r="J28">
        <v>0.66359999999999997</v>
      </c>
      <c r="K28" t="s">
        <v>176</v>
      </c>
      <c r="L28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22AD-B165-4AA4-A436-997671672B61}">
  <dimension ref="A1:C6"/>
  <sheetViews>
    <sheetView workbookViewId="0">
      <selection activeCell="B2" sqref="B2"/>
    </sheetView>
  </sheetViews>
  <sheetFormatPr defaultRowHeight="13.2" x14ac:dyDescent="0.25"/>
  <cols>
    <col min="2" max="2" width="20.88671875" customWidth="1"/>
    <col min="3" max="3" width="24.5546875" customWidth="1"/>
    <col min="4" max="4" width="14.21875" customWidth="1"/>
  </cols>
  <sheetData>
    <row r="1" spans="1:3" ht="15" thickBot="1" x14ac:dyDescent="0.35">
      <c r="A1" s="21" t="s">
        <v>194</v>
      </c>
      <c r="B1" s="21" t="s">
        <v>206</v>
      </c>
      <c r="C1" s="21" t="s">
        <v>195</v>
      </c>
    </row>
    <row r="2" spans="1:3" ht="58.2" thickBot="1" x14ac:dyDescent="0.3">
      <c r="A2" s="18">
        <v>1</v>
      </c>
      <c r="B2" s="19" t="s">
        <v>196</v>
      </c>
      <c r="C2" s="20" t="s">
        <v>197</v>
      </c>
    </row>
    <row r="3" spans="1:3" ht="86.4" x14ac:dyDescent="0.25">
      <c r="A3" s="18">
        <v>2</v>
      </c>
      <c r="B3" s="20" t="s">
        <v>198</v>
      </c>
      <c r="C3" s="20" t="s">
        <v>199</v>
      </c>
    </row>
    <row r="4" spans="1:3" ht="72" x14ac:dyDescent="0.25">
      <c r="A4" s="18">
        <v>3</v>
      </c>
      <c r="B4" s="20" t="s">
        <v>200</v>
      </c>
      <c r="C4" s="20" t="s">
        <v>201</v>
      </c>
    </row>
    <row r="5" spans="1:3" ht="57.6" x14ac:dyDescent="0.25">
      <c r="A5" s="18">
        <v>4</v>
      </c>
      <c r="B5" s="20" t="s">
        <v>202</v>
      </c>
      <c r="C5" s="20" t="s">
        <v>203</v>
      </c>
    </row>
    <row r="6" spans="1:3" ht="72" x14ac:dyDescent="0.25">
      <c r="A6" s="18">
        <v>5</v>
      </c>
      <c r="B6" s="20" t="s">
        <v>204</v>
      </c>
      <c r="C6" s="20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Brief</vt:lpstr>
      <vt:lpstr>AB Tests</vt:lpstr>
      <vt:lpstr>Data Dictionary</vt:lpstr>
      <vt:lpstr>AI Use Log</vt:lpstr>
      <vt:lpstr>Results</vt:lpstr>
      <vt:lpstr>New Test Ideas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tarunaraskar9685@outlook.com</cp:lastModifiedBy>
  <cp:revision>0</cp:revision>
  <dcterms:created xsi:type="dcterms:W3CDTF">2026-09-25T16:15:30Z</dcterms:created>
  <dcterms:modified xsi:type="dcterms:W3CDTF">2026-10-04T07:26:37Z</dcterms:modified>
  <dc:language>en-US</dc:language>
</cp:coreProperties>
</file>